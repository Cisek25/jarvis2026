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droże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276221"/>
      <sz val="11"/>
    </font>
    <font>
      <name val="Calibri"/>
      <b val="1"/>
      <color rgb="00843c0c"/>
      <sz val="11"/>
    </font>
    <font>
      <name val="Calibri"/>
      <b val="1"/>
      <color rgb="004a235a"/>
      <sz val="11"/>
    </font>
    <font>
      <name val="Calibri"/>
      <b val="1"/>
      <color rgb="009c5700"/>
      <sz val="11"/>
    </font>
    <font>
      <name val="Calibri"/>
      <b val="1"/>
      <color rgb="001f4e79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ourier New"/>
      <color rgb="00276221"/>
      <sz val="9"/>
    </font>
    <font>
      <name val="Courier New"/>
      <color rgb="001f4e79"/>
      <sz val="9"/>
    </font>
    <font>
      <name val="Courier New"/>
      <color rgb="009c5700"/>
      <sz val="9"/>
    </font>
    <font>
      <name val="Courier New"/>
      <color rgb="00843c0c"/>
      <sz val="9"/>
    </font>
    <font>
      <name val="Courier New"/>
      <color rgb="004a235a"/>
      <sz val="9"/>
    </font>
    <font>
      <name val="Calibri"/>
      <i val="1"/>
      <color rgb="007B3F00"/>
      <sz val="10"/>
    </font>
    <font>
      <name val="Calibri"/>
      <i val="1"/>
      <color rgb="00555555"/>
      <sz val="11"/>
    </font>
    <font>
      <name val="Calibri"/>
      <i val="1"/>
      <color rgb="00444444"/>
      <sz val="10"/>
    </font>
    <font>
      <name val="Calibri"/>
      <b val="1"/>
      <color rgb="009c0006"/>
      <sz val="11"/>
    </font>
    <font>
      <name val="Calibri"/>
      <i val="1"/>
      <color rgb="00333333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25">
    <fill>
      <patternFill/>
    </fill>
    <fill>
      <patternFill patternType="gray125"/>
    </fill>
    <fill>
      <patternFill patternType="solid">
        <fgColor rgb="001a472a"/>
      </patternFill>
    </fill>
    <fill>
      <patternFill patternType="solid">
        <fgColor rgb="00e8e8e8"/>
      </patternFill>
    </fill>
    <fill>
      <patternFill patternType="solid">
        <fgColor rgb="00f7f7f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e2cd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f0f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67e22"/>
      </patternFill>
    </fill>
    <fill>
      <patternFill patternType="solid">
        <fgColor rgb="00f9f9f9"/>
      </patternFill>
    </fill>
    <fill>
      <patternFill patternType="solid">
        <fgColor rgb="00fff3cd"/>
      </patternFill>
    </fill>
    <fill>
      <patternFill patternType="solid">
        <fgColor rgb="00fff8f0"/>
      </patternFill>
    </fill>
    <fill>
      <patternFill patternType="solid">
        <fgColor rgb="00fafafa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d5f5e3"/>
      </patternFill>
    </fill>
    <fill>
      <patternFill patternType="solid">
        <fgColor rgb="00f5f5f5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e67e22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2" borderId="1" applyAlignment="1" pivotButton="0" quotePrefix="0" xfId="0">
      <alignment horizontal="left" vertical="center"/>
    </xf>
    <xf numFmtId="0" fontId="1" fillId="16" borderId="1" applyAlignment="1" pivotButton="0" quotePrefix="0" xfId="0">
      <alignment horizontal="left" vertical="center"/>
    </xf>
    <xf numFmtId="0" fontId="1" fillId="21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left" vertical="center" wrapText="1"/>
    </xf>
    <xf numFmtId="1" fontId="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9" fontId="9" fillId="6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6" fontId="9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165" fontId="16" fillId="13" borderId="1" applyAlignment="1" pivotButton="0" quotePrefix="0" xfId="0">
      <alignment horizontal="center" vertical="center" wrapText="1"/>
    </xf>
    <xf numFmtId="165" fontId="2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/>
    </xf>
    <xf numFmtId="166" fontId="9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left" vertical="center"/>
    </xf>
    <xf numFmtId="0" fontId="19" fillId="15" borderId="1" applyAlignment="1" pivotButton="0" quotePrefix="0" xfId="0">
      <alignment horizontal="left" vertical="center"/>
    </xf>
    <xf numFmtId="0" fontId="20" fillId="23" borderId="1" applyAlignment="1" pivotButton="0" quotePrefix="0" xfId="0">
      <alignment horizontal="left" vertical="center"/>
    </xf>
    <xf numFmtId="0" fontId="20" fillId="2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9" fontId="2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9" fontId="2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9" fontId="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9" fontId="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9" fontId="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9" fontId="2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7" fillId="20" borderId="2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19" fillId="2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Autonomia Claude AI (%)</a:t>
            </a:r>
          </a:p>
        </rich>
      </tx>
    </title>
    <plotArea>
      <lineChart>
        <grouping val="standard"/>
        <ser>
          <idx val="0"/>
          <order val="0"/>
          <tx>
            <strRef>
              <f>'Wdrożenia'!BA20</f>
            </strRef>
          </tx>
          <spPr>
            <a:ln xmlns:a="http://schemas.openxmlformats.org/drawingml/2006/main" w="25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'Wdrożenia'!$AZ$21:$AZ$31</f>
            </numRef>
          </cat>
          <val>
            <numRef>
              <f>'Wdrożenia'!$BA$21:$BA$31</f>
            </numRef>
          </val>
          <smooth val="1"/>
        </ser>
        <ser>
          <idx val="1"/>
          <order val="1"/>
          <tx>
            <strRef>
              <f>'Wdrożenia'!BI20</f>
            </strRef>
          </tx>
          <spPr>
            <a:ln xmlns:a="http://schemas.openxmlformats.org/drawingml/2006/main" w="15000">
              <a:solidFill>
                <a:srgbClr val="ff71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'Wdrożenia'!$BI$21:$BI$31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Projekt 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4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Autonomia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Liczba sesji per projekt (mniej = lepiej)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'Wdrożenia'!BE20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'Wdrożenia'!$BD$21:$BD$31</f>
            </numRef>
          </cat>
          <val>
            <numRef>
              <f>'Wdrożenia'!$BE$21:$BE$31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Projekt 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Akumulacja wiedzy (1-10)</a:t>
            </a:r>
          </a:p>
        </rich>
      </tx>
    </title>
    <plotArea>
      <lineChart>
        <grouping val="standard"/>
        <ser>
          <idx val="0"/>
          <order val="0"/>
          <tx>
            <strRef>
              <f>'Wdrożenia'!BH20</f>
            </strRef>
          </tx>
          <spPr>
            <a:ln xmlns:a="http://schemas.openxmlformats.org/drawingml/2006/main" w="25000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'Wdrożenia'!$BG$21:$BG$31</f>
            </numRef>
          </cat>
          <val>
            <numRef>
              <f>'Wdrożenia'!$BH$21:$BH$31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Projekt 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Wiedza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System</author>
  </authors>
  <commentList>
    <comment ref="T10" authorId="0" shapeId="0">
      <text>
        <t>⚠️ UWAGA: 3 rundy — zmiana koloru, przebudowa homepage, galeria. Zmiany po odbiorze.</t>
      </text>
    </comment>
    <comment ref="T11" authorId="0" shapeId="0">
      <text>
        <t>🔴 BOTTLENECK: 14 rund poprawek, 33 root causes. Brak freeze scope na starcie. Lekcja: akceptuj brief PRZED startem.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51</col>
      <colOff>0</colOff>
      <row>34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59</col>
      <colOff>0</colOff>
      <row>34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51</col>
      <colOff>0</colOff>
      <row>54</row>
      <rowOff>0</rowOff>
    </from>
    <ext cx="61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472a"/>
    <outlinePr summaryBelow="1" summaryRight="1"/>
    <pageSetUpPr/>
  </sheetPr>
  <dimension ref="A1:BQ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4" customWidth="1" min="4" max="4"/>
    <col width="26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3" customWidth="1" min="11" max="11"/>
    <col width="10" customWidth="1" min="12" max="12"/>
    <col width="13" customWidth="1" min="13" max="13"/>
    <col width="11" customWidth="1" min="14" max="14"/>
    <col width="11" customWidth="1" min="15" max="15"/>
    <col width="10" customWidth="1" min="16" max="16"/>
    <col width="8" customWidth="1" min="17" max="17"/>
    <col width="12" customWidth="1" min="18" max="18"/>
    <col width="9" customWidth="1" min="19" max="19"/>
    <col width="10" customWidth="1" min="20" max="20"/>
    <col width="11" customWidth="1" min="21" max="21"/>
    <col width="22" customWidth="1" min="22" max="22"/>
    <col width="3" customWidth="1" min="23" max="23"/>
    <col width="3" customWidth="1" min="24" max="24"/>
    <col width="26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3" customWidth="1" min="37" max="37"/>
    <col width="3" customWidth="1" min="38" max="38"/>
    <col width="26" customWidth="1" min="39" max="39"/>
    <col width="22" customWidth="1" min="40" max="40"/>
    <col width="13" customWidth="1" min="41" max="41"/>
    <col width="15" customWidth="1" min="42" max="42"/>
    <col width="16" customWidth="1" min="43" max="43"/>
    <col width="2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3" customWidth="1" min="50" max="50"/>
    <col width="3" customWidth="1" min="51" max="51"/>
    <col width="4" customWidth="1" min="52" max="52"/>
    <col width="22" customWidth="1" min="53" max="53"/>
    <col width="13" customWidth="1" min="54" max="54"/>
    <col width="8" customWidth="1" min="55" max="55"/>
    <col width="9" customWidth="1" min="56" max="56"/>
    <col width="12" customWidth="1" min="57" max="57"/>
    <col width="12" customWidth="1" min="58" max="58"/>
    <col width="10" customWidth="1" min="59" max="59"/>
    <col width="10" customWidth="1" min="60" max="60"/>
    <col width="2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 ht="32" customHeight="1">
      <c r="A1" s="1" t="inlineStr">
        <is>
          <t>#</t>
        </is>
      </c>
      <c r="B1" s="1" t="inlineStr">
        <is>
          <t>Nazwa firmy</t>
        </is>
      </c>
      <c r="C1" s="1" t="inlineStr">
        <is>
          <t>ID panelu</t>
        </is>
      </c>
      <c r="D1" s="1" t="inlineStr">
        <is>
          <t>Status</t>
        </is>
      </c>
      <c r="E1" s="1" t="inlineStr">
        <is>
          <t>Strona WWW</t>
        </is>
      </c>
      <c r="F1" s="1" t="inlineStr">
        <is>
          <t>Data briefu</t>
        </is>
      </c>
      <c r="G1" s="1" t="inlineStr">
        <is>
          <t>Data startu</t>
        </is>
      </c>
      <c r="H1" s="1" t="inlineStr">
        <is>
          <t>Data dostarczenia</t>
        </is>
      </c>
      <c r="I1" s="1" t="inlineStr">
        <is>
          <t>Skomplikowanie</t>
        </is>
      </c>
      <c r="J1" s="1" t="inlineStr">
        <is>
          <t>Języki</t>
        </is>
      </c>
      <c r="K1" s="1" t="inlineStr">
        <is>
          <t>SLA zakład. (dni)</t>
        </is>
      </c>
      <c r="L1" s="1" t="inlineStr">
        <is>
          <t>Czas budowy (h)</t>
        </is>
      </c>
      <c r="M1" s="1" t="inlineStr">
        <is>
          <t>SLA rzeczyw. (dni)</t>
        </is>
      </c>
      <c r="N1" s="1" t="inlineStr">
        <is>
          <t>Delta SLA (dni)</t>
        </is>
      </c>
      <c r="O1" s="1" t="inlineStr">
        <is>
          <t>SLA ok?</t>
        </is>
      </c>
      <c r="P1" s="1" t="inlineStr">
        <is>
          <t>Rundy poprawek</t>
        </is>
      </c>
      <c r="Q1" s="1" t="inlineStr">
        <is>
          <t>Zmiany</t>
        </is>
      </c>
      <c r="R1" s="1" t="inlineStr">
        <is>
          <t>SLA poprawki</t>
        </is>
      </c>
      <c r="S1" s="1" t="inlineStr">
        <is>
          <t>Feedback</t>
        </is>
      </c>
      <c r="T1" s="1" t="inlineStr">
        <is>
          <t>ALERT</t>
        </is>
      </c>
      <c r="U1" s="1" t="inlineStr">
        <is>
          <t>Lead time (dni)</t>
        </is>
      </c>
      <c r="V1" s="1" t="inlineStr">
        <is>
          <t>Uwagi</t>
        </is>
      </c>
      <c r="W1" s="2" t="inlineStr"/>
      <c r="X1" s="2" t="inlineStr"/>
      <c r="Y1" s="3" t="inlineStr">
        <is>
          <t>DASHBOARD — KONTROLA WDROZEN</t>
        </is>
      </c>
      <c r="AK1" s="2" t="inlineStr"/>
      <c r="AL1" s="2" t="inlineStr"/>
      <c r="AM1" s="4" t="inlineStr">
        <is>
          <t>KOLEJKA SALES — KALKULATOR</t>
        </is>
      </c>
      <c r="AX1" s="2" t="inlineStr"/>
      <c r="AY1" s="2" t="inlineStr"/>
      <c r="AZ1" s="5" t="inlineStr">
        <is>
          <t>CLAUDE AI — POSTEP WIEDZY I AUTONOMII</t>
        </is>
      </c>
    </row>
    <row r="2" ht="26" customHeight="1">
      <c r="A2" s="6" t="n">
        <v>1</v>
      </c>
      <c r="B2" s="7" t="inlineStr">
        <is>
          <t>WHITE FROG (CityApart Szczecin)</t>
        </is>
      </c>
      <c r="C2" s="6" t="n">
        <v>56026</v>
      </c>
      <c r="D2" s="8" t="inlineStr">
        <is>
          <t>Zakończona</t>
        </is>
      </c>
      <c r="E2" s="7" t="inlineStr">
        <is>
          <t>https://cityapartszczecin.pl/</t>
        </is>
      </c>
      <c r="F2" s="9" t="n">
        <v>46032</v>
      </c>
      <c r="G2" s="9" t="n">
        <v>46037</v>
      </c>
      <c r="H2" s="9" t="n">
        <v>46047</v>
      </c>
      <c r="I2" s="6" t="inlineStr">
        <is>
          <t>Średnia</t>
        </is>
      </c>
      <c r="J2" s="6" t="inlineStr">
        <is>
          <t>PL</t>
        </is>
      </c>
      <c r="K2" s="10" t="n">
        <v>7</v>
      </c>
      <c r="L2" s="10" t="n">
        <v>8</v>
      </c>
      <c r="M2" s="10">
        <f>IF(L2=0,0,CEILING(L2/8,1))</f>
        <v/>
      </c>
      <c r="N2" s="6">
        <f>IF(K2=0,"-",K2-M2)</f>
        <v/>
      </c>
      <c r="O2" s="6">
        <f>IF(K2=0,"-",IF(M2&lt;=K2,"TAK","PRZEKROCZONO"))</f>
        <v/>
      </c>
      <c r="P2" s="10" t="n">
        <v>0</v>
      </c>
      <c r="Q2" s="10" t="n">
        <v>0</v>
      </c>
      <c r="R2" s="6" t="inlineStr">
        <is>
          <t>-</t>
        </is>
      </c>
      <c r="S2" s="6" t="inlineStr">
        <is>
          <t>NIE</t>
        </is>
      </c>
      <c r="T2" s="6">
        <f>IF(P2&gt;=3,"BOTTLENECK",IF(P2&gt;=2,"UWAGA",""))</f>
        <v/>
      </c>
      <c r="U2" s="6">
        <f>IF(OR(F2="",H2=""),"-",NETWORKDAYS(F2,H2)-1)</f>
        <v/>
      </c>
      <c r="V2" s="7" t="inlineStr"/>
      <c r="Y2" s="11" t="inlineStr">
        <is>
          <t>PODSUMOWANIE</t>
        </is>
      </c>
      <c r="AM2" s="4" t="inlineStr">
        <is>
          <t>Czas realizacji od briefu</t>
        </is>
      </c>
      <c r="AZ2" s="5" t="inlineStr">
        <is>
          <t>ANALIZA PROJEKTOW — NAUKA AI</t>
        </is>
      </c>
    </row>
    <row r="3" ht="26" customHeight="1">
      <c r="A3" s="12" t="n">
        <v>2</v>
      </c>
      <c r="B3" s="13" t="inlineStr">
        <is>
          <t>WARSZAWSKI HOLDING (WawaBed)</t>
        </is>
      </c>
      <c r="C3" s="12" t="n">
        <v>55761</v>
      </c>
      <c r="D3" s="14" t="inlineStr">
        <is>
          <t>Czekamy na klienta</t>
        </is>
      </c>
      <c r="E3" s="13" t="inlineStr">
        <is>
          <t>https://wh.waw.pl/</t>
        </is>
      </c>
      <c r="F3" s="15" t="n">
        <v>46037</v>
      </c>
      <c r="G3" s="15" t="n">
        <v>46042</v>
      </c>
      <c r="H3" s="13" t="n"/>
      <c r="I3" s="12" t="inlineStr">
        <is>
          <t>Wysoka</t>
        </is>
      </c>
      <c r="J3" s="12" t="inlineStr">
        <is>
          <t>PL</t>
        </is>
      </c>
      <c r="K3" s="16" t="n">
        <v>10</v>
      </c>
      <c r="L3" s="16" t="n">
        <v>20</v>
      </c>
      <c r="M3" s="16">
        <f>IF(L3=0,0,CEILING(L3/8,1))</f>
        <v/>
      </c>
      <c r="N3" s="12">
        <f>IF(K3=0,"-",K3-M3)</f>
        <v/>
      </c>
      <c r="O3" s="12">
        <f>IF(K3=0,"-",IF(M3&lt;=K3,"TAK","PRZEKROCZONO"))</f>
        <v/>
      </c>
      <c r="P3" s="16" t="n">
        <v>0</v>
      </c>
      <c r="Q3" s="16" t="n">
        <v>0</v>
      </c>
      <c r="R3" s="12" t="inlineStr">
        <is>
          <t>-</t>
        </is>
      </c>
      <c r="S3" s="12" t="inlineStr">
        <is>
          <t>NIE</t>
        </is>
      </c>
      <c r="T3" s="12">
        <f>IF(P3&gt;=3,"BOTTLENECK",IF(P3&gt;=2,"UWAGA",""))</f>
        <v/>
      </c>
      <c r="U3" s="12">
        <f>IF(OR(F3="",H3=""),"-",NETWORKDAYS(F3,H3)-1)</f>
        <v/>
      </c>
      <c r="V3" s="13" t="inlineStr">
        <is>
          <t>Czeka na wybór wersji v1/v2</t>
        </is>
      </c>
      <c r="Y3" s="17" t="inlineStr">
        <is>
          <t>Projekty ogolem</t>
        </is>
      </c>
      <c r="Z3" s="18">
        <f>COUNTA(B2:B200)</f>
        <v/>
      </c>
      <c r="AM3" s="19" t="inlineStr">
        <is>
          <t>Typ</t>
        </is>
      </c>
      <c r="AN3" s="19" t="inlineStr">
        <is>
          <t>SLA (dni)</t>
        </is>
      </c>
      <c r="AO3" s="19" t="inlineStr">
        <is>
          <t>~Czas</t>
        </is>
      </c>
      <c r="AP3" s="19" t="inlineStr">
        <is>
          <t>Przyklady</t>
        </is>
      </c>
      <c r="AZ3" s="20" t="inlineStr">
        <is>
          <t>L.p.</t>
        </is>
      </c>
      <c r="BA3" s="20" t="inlineStr">
        <is>
          <t>Projekt</t>
        </is>
      </c>
      <c r="BB3" s="20" t="inlineStr">
        <is>
          <t>Zlozonosc</t>
        </is>
      </c>
      <c r="BC3" s="20" t="inlineStr">
        <is>
          <t>Sesje</t>
        </is>
      </c>
      <c r="BD3" s="20" t="inlineStr">
        <is>
          <t>Korekty</t>
        </is>
      </c>
      <c r="BE3" s="20" t="inlineStr">
        <is>
          <t>Root causes</t>
        </is>
      </c>
      <c r="BF3" s="20" t="inlineStr">
        <is>
          <t>Wiedza (1-10)</t>
        </is>
      </c>
      <c r="BG3" s="20" t="inlineStr">
        <is>
          <t>Autonomia %</t>
        </is>
      </c>
      <c r="BH3" s="20" t="inlineStr">
        <is>
          <t>Ocena</t>
        </is>
      </c>
      <c r="BI3" s="20" t="inlineStr">
        <is>
          <t>Trend</t>
        </is>
      </c>
    </row>
    <row r="4" ht="22" customHeight="1">
      <c r="A4" s="6" t="n">
        <v>3</v>
      </c>
      <c r="B4" s="7" t="inlineStr">
        <is>
          <t>VILLA KAPITAŃSKA</t>
        </is>
      </c>
      <c r="C4" s="6" t="n">
        <v>57041</v>
      </c>
      <c r="D4" s="21" t="inlineStr">
        <is>
          <t>Gotowe / czeka na wklejenie</t>
        </is>
      </c>
      <c r="E4" s="7" t="inlineStr">
        <is>
          <t>https://villa-kapitanska.pl/</t>
        </is>
      </c>
      <c r="F4" s="9" t="n">
        <v>46042</v>
      </c>
      <c r="G4" s="9" t="n">
        <v>46047</v>
      </c>
      <c r="H4" s="7" t="n"/>
      <c r="I4" s="6" t="inlineStr">
        <is>
          <t>Bardzo wysoka</t>
        </is>
      </c>
      <c r="J4" s="6" t="inlineStr">
        <is>
          <t>PL+DE</t>
        </is>
      </c>
      <c r="K4" s="10" t="n">
        <v>14</v>
      </c>
      <c r="L4" s="10" t="n">
        <v>30</v>
      </c>
      <c r="M4" s="10">
        <f>IF(L4=0,0,CEILING(L4/8,1))</f>
        <v/>
      </c>
      <c r="N4" s="6">
        <f>IF(K4=0,"-",K4-M4)</f>
        <v/>
      </c>
      <c r="O4" s="6">
        <f>IF(K4=0,"-",IF(M4&lt;=K4,"TAK","PRZEKROCZONO"))</f>
        <v/>
      </c>
      <c r="P4" s="10" t="n">
        <v>0</v>
      </c>
      <c r="Q4" s="10" t="n">
        <v>0</v>
      </c>
      <c r="R4" s="6" t="inlineStr">
        <is>
          <t>-</t>
        </is>
      </c>
      <c r="S4" s="6" t="inlineStr">
        <is>
          <t>NIE</t>
        </is>
      </c>
      <c r="T4" s="6">
        <f>IF(P4&gt;=3,"BOTTLENECK",IF(P4&gt;=2,"UWAGA",""))</f>
        <v/>
      </c>
      <c r="U4" s="6">
        <f>IF(OR(F4="",H4=""),"-",NETWORKDAYS(F4,H4)-1)</f>
        <v/>
      </c>
      <c r="V4" s="7" t="inlineStr"/>
      <c r="Y4" s="22" t="inlineStr">
        <is>
          <t>Zakonczone</t>
        </is>
      </c>
      <c r="Z4" s="23">
        <f>COUNTIF(D2:D200,"Zakończona")</f>
        <v/>
      </c>
      <c r="AM4" s="13" t="inlineStr">
        <is>
          <t>Minimalne</t>
        </is>
      </c>
      <c r="AN4" s="18" t="n">
        <v>3</v>
      </c>
      <c r="AO4" s="12" t="inlineStr">
        <is>
          <t>~1 tydzien</t>
        </is>
      </c>
      <c r="AP4" s="13" t="inlineStr">
        <is>
          <t>WCA, Dobry Wiatr</t>
        </is>
      </c>
      <c r="AQ4" s="24" t="inlineStr"/>
      <c r="AR4" s="24" t="inlineStr"/>
      <c r="AZ4" s="25" t="n">
        <v>1</v>
      </c>
      <c r="BA4" s="26" t="inlineStr">
        <is>
          <t>CityApart Szczecin</t>
        </is>
      </c>
      <c r="BB4" s="25" t="inlineStr">
        <is>
          <t>Średnia</t>
        </is>
      </c>
      <c r="BC4" s="27" t="n">
        <v>2</v>
      </c>
      <c r="BD4" s="25" t="n">
        <v>0</v>
      </c>
      <c r="BE4" s="25" t="n">
        <v>3</v>
      </c>
      <c r="BF4" s="25" t="n">
        <v>2</v>
      </c>
      <c r="BG4" s="28" t="n">
        <v>75</v>
      </c>
      <c r="BH4" s="25" t="inlineStr">
        <is>
          <t>⭐⭐⭐</t>
        </is>
      </c>
      <c r="BI4" s="25" t="inlineStr">
        <is>
          <t>Fundament</t>
        </is>
      </c>
    </row>
    <row r="5" ht="22" customHeight="1">
      <c r="A5" s="12" t="n">
        <v>4</v>
      </c>
      <c r="B5" s="13" t="inlineStr">
        <is>
          <t>Mountain Prestige MAR</t>
        </is>
      </c>
      <c r="C5" s="12" t="n">
        <v>57060</v>
      </c>
      <c r="D5" s="28" t="inlineStr">
        <is>
          <t>Brief</t>
        </is>
      </c>
      <c r="E5" s="13" t="inlineStr">
        <is>
          <t>https://client57060.idosell.com/</t>
        </is>
      </c>
      <c r="F5" s="15" t="n">
        <v>46082</v>
      </c>
      <c r="G5" s="13" t="n"/>
      <c r="H5" s="13" t="n"/>
      <c r="I5" s="12" t="inlineStr">
        <is>
          <t>Brief</t>
        </is>
      </c>
      <c r="J5" s="12" t="inlineStr">
        <is>
          <t>?</t>
        </is>
      </c>
      <c r="K5" s="16" t="n">
        <v>0</v>
      </c>
      <c r="L5" s="16" t="n">
        <v>0</v>
      </c>
      <c r="M5" s="16">
        <f>IF(L5=0,0,CEILING(L5/8,1))</f>
        <v/>
      </c>
      <c r="N5" s="12">
        <f>IF(K5=0,"-",K5-M5)</f>
        <v/>
      </c>
      <c r="O5" s="12">
        <f>IF(K5=0,"-",IF(M5&lt;=K5,"TAK","PRZEKROCZONO"))</f>
        <v/>
      </c>
      <c r="P5" s="16" t="n">
        <v>0</v>
      </c>
      <c r="Q5" s="16" t="n">
        <v>0</v>
      </c>
      <c r="R5" s="12" t="inlineStr">
        <is>
          <t>-</t>
        </is>
      </c>
      <c r="S5" s="12" t="inlineStr">
        <is>
          <t>NIE</t>
        </is>
      </c>
      <c r="T5" s="12">
        <f>IF(P5&gt;=3,"BOTTLENECK",IF(P5&gt;=2,"UWAGA",""))</f>
        <v/>
      </c>
      <c r="U5" s="12">
        <f>IF(OR(F5="",H5=""),"-",NETWORKDAYS(F5,H5)-1)</f>
        <v/>
      </c>
      <c r="V5" s="13" t="inlineStr"/>
      <c r="Y5" s="17" t="inlineStr">
        <is>
          <t>W realizacji</t>
        </is>
      </c>
      <c r="Z5" s="18">
        <f>COUNTIF(D2:D200,"W realizacji")</f>
        <v/>
      </c>
      <c r="AM5" s="29" t="inlineStr">
        <is>
          <t>Standardowe PL</t>
        </is>
      </c>
      <c r="AN5" s="30" t="n">
        <v>7</v>
      </c>
      <c r="AO5" s="31" t="inlineStr">
        <is>
          <t>~1.5 tygodnia</t>
        </is>
      </c>
      <c r="AP5" s="29" t="inlineStr">
        <is>
          <t>GoldenApts, MW Consult.</t>
        </is>
      </c>
      <c r="AQ5" s="32" t="inlineStr"/>
      <c r="AR5" s="32" t="inlineStr"/>
      <c r="AZ5" s="12" t="n">
        <v>2</v>
      </c>
      <c r="BA5" s="13" t="inlineStr">
        <is>
          <t>WawaBed</t>
        </is>
      </c>
      <c r="BB5" s="12" t="inlineStr">
        <is>
          <t>Wysoka</t>
        </is>
      </c>
      <c r="BC5" s="27" t="n">
        <v>3</v>
      </c>
      <c r="BD5" s="12" t="n">
        <v>0</v>
      </c>
      <c r="BE5" s="12" t="n">
        <v>4</v>
      </c>
      <c r="BF5" s="12" t="n">
        <v>3</v>
      </c>
      <c r="BG5" s="28" t="n">
        <v>78</v>
      </c>
      <c r="BH5" s="12" t="inlineStr">
        <is>
          <t>⭐⭐⭐</t>
        </is>
      </c>
      <c r="BI5" s="12" t="inlineStr">
        <is>
          <t>Kreacja</t>
        </is>
      </c>
    </row>
    <row r="6" ht="22" customHeight="1">
      <c r="A6" s="6" t="n">
        <v>5</v>
      </c>
      <c r="B6" s="7" t="inlineStr">
        <is>
          <t>MORADA SERVICE (GoldenApartments)</t>
        </is>
      </c>
      <c r="C6" s="6" t="n">
        <v>57304</v>
      </c>
      <c r="D6" s="8" t="inlineStr">
        <is>
          <t>Zakończona</t>
        </is>
      </c>
      <c r="E6" s="7" t="inlineStr">
        <is>
          <t>https://client57304.idosell.com/</t>
        </is>
      </c>
      <c r="F6" s="9" t="n">
        <v>46058</v>
      </c>
      <c r="G6" s="9" t="n">
        <v>46063</v>
      </c>
      <c r="H6" s="9" t="n">
        <v>46081</v>
      </c>
      <c r="I6" s="6" t="inlineStr">
        <is>
          <t>Średnia</t>
        </is>
      </c>
      <c r="J6" s="6" t="inlineStr">
        <is>
          <t>PL</t>
        </is>
      </c>
      <c r="K6" s="10" t="n">
        <v>7</v>
      </c>
      <c r="L6" s="10" t="n">
        <v>15</v>
      </c>
      <c r="M6" s="10">
        <f>IF(L6=0,0,CEILING(L6/8,1))</f>
        <v/>
      </c>
      <c r="N6" s="6">
        <f>IF(K6=0,"-",K6-M6)</f>
        <v/>
      </c>
      <c r="O6" s="6">
        <f>IF(K6=0,"-",IF(M6&lt;=K6,"TAK","PRZEKROCZONO"))</f>
        <v/>
      </c>
      <c r="P6" s="10" t="n">
        <v>2</v>
      </c>
      <c r="Q6" s="10" t="n">
        <v>6</v>
      </c>
      <c r="R6" s="6" t="inlineStr">
        <is>
          <t>2 dni</t>
        </is>
      </c>
      <c r="S6" s="6" t="inlineStr">
        <is>
          <t>TAK</t>
        </is>
      </c>
      <c r="T6" s="33">
        <f>IF(P6&gt;=3,"BOTTLENECK",IF(P6&gt;=2,"UWAGA",""))</f>
        <v/>
      </c>
      <c r="U6" s="6">
        <f>IF(OR(F6="",H6=""),"-",NETWORKDAYS(F6,H6)-1)</f>
        <v/>
      </c>
      <c r="V6" s="7" t="inlineStr"/>
      <c r="Y6" s="22" t="inlineStr">
        <is>
          <t>Brief (nowe)</t>
        </is>
      </c>
      <c r="Z6" s="23">
        <f>COUNTIF(D2:D200,"Brief")</f>
        <v/>
      </c>
      <c r="AM6" s="13" t="inlineStr">
        <is>
          <t>Rozszerzone PL+EN</t>
        </is>
      </c>
      <c r="AN6" s="18" t="n">
        <v>10</v>
      </c>
      <c r="AO6" s="12" t="inlineStr">
        <is>
          <t>~2 tygodnie</t>
        </is>
      </c>
      <c r="AP6" s="13" t="inlineStr">
        <is>
          <t>Madera, WawaBed</t>
        </is>
      </c>
      <c r="AQ6" s="24" t="inlineStr"/>
      <c r="AR6" s="24" t="inlineStr"/>
      <c r="AZ6" s="25" t="n">
        <v>3</v>
      </c>
      <c r="BA6" s="26" t="inlineStr">
        <is>
          <t>Willa Kapitańska</t>
        </is>
      </c>
      <c r="BB6" s="25" t="inlineStr">
        <is>
          <t>Bardzo wysoka</t>
        </is>
      </c>
      <c r="BC6" s="33" t="n">
        <v>4</v>
      </c>
      <c r="BD6" s="25" t="n">
        <v>0</v>
      </c>
      <c r="BE6" s="25" t="n">
        <v>5</v>
      </c>
      <c r="BF6" s="25" t="n">
        <v>4</v>
      </c>
      <c r="BG6" s="28" t="n">
        <v>80</v>
      </c>
      <c r="BH6" s="25" t="inlineStr">
        <is>
          <t>⭐⭐⭐</t>
        </is>
      </c>
      <c r="BI6" s="25" t="inlineStr">
        <is>
          <t>PL+DE</t>
        </is>
      </c>
    </row>
    <row r="7" ht="22" customHeight="1">
      <c r="A7" s="12" t="n">
        <v>6</v>
      </c>
      <c r="B7" s="13" t="inlineStr">
        <is>
          <t>MW Consulting</t>
        </is>
      </c>
      <c r="C7" s="12" t="n">
        <v>53370</v>
      </c>
      <c r="D7" s="8" t="inlineStr">
        <is>
          <t>Zakończona</t>
        </is>
      </c>
      <c r="E7" s="13" t="inlineStr">
        <is>
          <t>https://client53370.idosell.com/</t>
        </is>
      </c>
      <c r="F7" s="15" t="n">
        <v>46063</v>
      </c>
      <c r="G7" s="15" t="n">
        <v>46068</v>
      </c>
      <c r="H7" s="15" t="n">
        <v>46078</v>
      </c>
      <c r="I7" s="12" t="inlineStr">
        <is>
          <t>Średnia</t>
        </is>
      </c>
      <c r="J7" s="12" t="inlineStr">
        <is>
          <t>PL</t>
        </is>
      </c>
      <c r="K7" s="16" t="n">
        <v>7</v>
      </c>
      <c r="L7" s="16" t="n">
        <v>10</v>
      </c>
      <c r="M7" s="16">
        <f>IF(L7=0,0,CEILING(L7/8,1))</f>
        <v/>
      </c>
      <c r="N7" s="12">
        <f>IF(K7=0,"-",K7-M7)</f>
        <v/>
      </c>
      <c r="O7" s="12">
        <f>IF(K7=0,"-",IF(M7&lt;=K7,"TAK","PRZEKROCZONO"))</f>
        <v/>
      </c>
      <c r="P7" s="16" t="n">
        <v>0</v>
      </c>
      <c r="Q7" s="16" t="n">
        <v>0</v>
      </c>
      <c r="R7" s="12" t="inlineStr">
        <is>
          <t>-</t>
        </is>
      </c>
      <c r="S7" s="12" t="inlineStr">
        <is>
          <t>NIE</t>
        </is>
      </c>
      <c r="T7" s="12">
        <f>IF(P7&gt;=3,"BOTTLENECK",IF(P7&gt;=2,"UWAGA",""))</f>
        <v/>
      </c>
      <c r="U7" s="12">
        <f>IF(OR(F7="",H7=""),"-",NETWORKDAYS(F7,H7)-1)</f>
        <v/>
      </c>
      <c r="V7" s="13" t="inlineStr"/>
      <c r="Y7" s="17" t="inlineStr">
        <is>
          <t>Czekamy na materialy</t>
        </is>
      </c>
      <c r="Z7" s="18">
        <f>COUNTIF(D2:D200,"Czekamy na materiały")</f>
        <v/>
      </c>
      <c r="AM7" s="29" t="inlineStr">
        <is>
          <t>Premium (JS/anims)</t>
        </is>
      </c>
      <c r="AN7" s="30" t="n">
        <v>14</v>
      </c>
      <c r="AO7" s="31" t="inlineStr">
        <is>
          <t>~3 tygodnie</t>
        </is>
      </c>
      <c r="AP7" s="29" t="inlineStr">
        <is>
          <t>EcoCamping, Najmar</t>
        </is>
      </c>
      <c r="AQ7" s="32" t="inlineStr"/>
      <c r="AR7" s="32" t="inlineStr"/>
      <c r="AZ7" s="12" t="n">
        <v>4</v>
      </c>
      <c r="BA7" s="13" t="inlineStr">
        <is>
          <t>GoldenApartments</t>
        </is>
      </c>
      <c r="BB7" s="12" t="inlineStr">
        <is>
          <t>Średnia</t>
        </is>
      </c>
      <c r="BC7" s="33" t="n">
        <v>5</v>
      </c>
      <c r="BD7" s="12" t="n">
        <v>2</v>
      </c>
      <c r="BE7" s="12" t="n">
        <v>6</v>
      </c>
      <c r="BF7" s="12" t="n">
        <v>4</v>
      </c>
      <c r="BG7" s="34" t="n">
        <v>65</v>
      </c>
      <c r="BH7" s="12" t="inlineStr">
        <is>
          <t>⭐⭐</t>
        </is>
      </c>
      <c r="BI7" s="12" t="inlineStr">
        <is>
          <t>OSOBY trap</t>
        </is>
      </c>
    </row>
    <row r="8" ht="22" customHeight="1">
      <c r="A8" s="6" t="n">
        <v>7</v>
      </c>
      <c r="B8" s="7" t="inlineStr">
        <is>
          <t>GeoStay LLC</t>
        </is>
      </c>
      <c r="C8" s="6" t="n">
        <v>57156</v>
      </c>
      <c r="D8" s="21" t="inlineStr">
        <is>
          <t>Gotowe / czeka na wklejenie</t>
        </is>
      </c>
      <c r="E8" s="7" t="inlineStr">
        <is>
          <t>https://geostay.ge/</t>
        </is>
      </c>
      <c r="F8" s="9" t="n">
        <v>46068</v>
      </c>
      <c r="G8" s="9" t="n">
        <v>46073</v>
      </c>
      <c r="H8" s="7" t="n"/>
      <c r="I8" s="6" t="inlineStr">
        <is>
          <t>Wysoka</t>
        </is>
      </c>
      <c r="J8" s="6" t="inlineStr">
        <is>
          <t>PL+RU</t>
        </is>
      </c>
      <c r="K8" s="10" t="n">
        <v>10</v>
      </c>
      <c r="L8" s="10" t="n">
        <v>14</v>
      </c>
      <c r="M8" s="10">
        <f>IF(L8=0,0,CEILING(L8/8,1))</f>
        <v/>
      </c>
      <c r="N8" s="6">
        <f>IF(K8=0,"-",K8-M8)</f>
        <v/>
      </c>
      <c r="O8" s="6">
        <f>IF(K8=0,"-",IF(M8&lt;=K8,"TAK","PRZEKROCZONO"))</f>
        <v/>
      </c>
      <c r="P8" s="10" t="n">
        <v>0</v>
      </c>
      <c r="Q8" s="10" t="n">
        <v>0</v>
      </c>
      <c r="R8" s="6" t="inlineStr">
        <is>
          <t>-</t>
        </is>
      </c>
      <c r="S8" s="6" t="inlineStr">
        <is>
          <t>NIE</t>
        </is>
      </c>
      <c r="T8" s="6">
        <f>IF(P8&gt;=3,"BOTTLENECK",IF(P8&gt;=2,"UWAGA",""))</f>
        <v/>
      </c>
      <c r="U8" s="6">
        <f>IF(OR(F8="",H8=""),"-",NETWORKDAYS(F8,H8)-1)</f>
        <v/>
      </c>
      <c r="V8" s="7" t="inlineStr"/>
      <c r="Y8" s="22" t="inlineStr">
        <is>
          <t>Czekamy na klienta</t>
        </is>
      </c>
      <c r="Z8" s="23">
        <f>COUNTIF(D2:D200,"Czekamy na klienta")</f>
        <v/>
      </c>
      <c r="AM8" s="13" t="inlineStr">
        <is>
          <t>Wielojezyczne 3+</t>
        </is>
      </c>
      <c r="AN8" s="18" t="n">
        <v>14</v>
      </c>
      <c r="AO8" s="12" t="inlineStr">
        <is>
          <t>~3 tygodnie</t>
        </is>
      </c>
      <c r="AP8" s="13" t="inlineStr">
        <is>
          <t>SORS Eagle Tower</t>
        </is>
      </c>
      <c r="AQ8" s="24" t="inlineStr"/>
      <c r="AR8" s="24" t="inlineStr"/>
      <c r="AZ8" s="25" t="n">
        <v>5</v>
      </c>
      <c r="BA8" s="26" t="inlineStr">
        <is>
          <t>MW Consulting</t>
        </is>
      </c>
      <c r="BB8" s="25" t="inlineStr">
        <is>
          <t>Średnia</t>
        </is>
      </c>
      <c r="BC8" s="27" t="n">
        <v>2</v>
      </c>
      <c r="BD8" s="25" t="n">
        <v>0</v>
      </c>
      <c r="BE8" s="25" t="n">
        <v>2</v>
      </c>
      <c r="BF8" s="25" t="n">
        <v>5</v>
      </c>
      <c r="BG8" s="8" t="n">
        <v>85</v>
      </c>
      <c r="BH8" s="25" t="inlineStr">
        <is>
          <t>⭐⭐⭐⭐</t>
        </is>
      </c>
      <c r="BI8" s="25" t="inlineStr">
        <is>
          <t>Reuzyciewiedzy</t>
        </is>
      </c>
    </row>
    <row r="9" ht="22" customHeight="1">
      <c r="A9" s="12" t="n">
        <v>8</v>
      </c>
      <c r="B9" s="13" t="inlineStr">
        <is>
          <t>WebActive (Mazurski Chill)</t>
        </is>
      </c>
      <c r="C9" s="12" t="n">
        <v>57689</v>
      </c>
      <c r="D9" s="21" t="inlineStr">
        <is>
          <t>Gotowe / czeka na wklejenie</t>
        </is>
      </c>
      <c r="E9" s="13" t="inlineStr">
        <is>
          <t>https://client57689.idosell.com/</t>
        </is>
      </c>
      <c r="F9" s="15" t="n">
        <v>46073</v>
      </c>
      <c r="G9" s="15" t="n">
        <v>46082</v>
      </c>
      <c r="H9" s="13" t="n"/>
      <c r="I9" s="12" t="inlineStr">
        <is>
          <t>Średnia</t>
        </is>
      </c>
      <c r="J9" s="12" t="inlineStr">
        <is>
          <t>PL</t>
        </is>
      </c>
      <c r="K9" s="16" t="n">
        <v>7</v>
      </c>
      <c r="L9" s="16" t="n">
        <v>12</v>
      </c>
      <c r="M9" s="16">
        <f>IF(L9=0,0,CEILING(L9/8,1))</f>
        <v/>
      </c>
      <c r="N9" s="12">
        <f>IF(K9=0,"-",K9-M9)</f>
        <v/>
      </c>
      <c r="O9" s="12">
        <f>IF(K9=0,"-",IF(M9&lt;=K9,"TAK","PRZEKROCZONO"))</f>
        <v/>
      </c>
      <c r="P9" s="16" t="n">
        <v>1</v>
      </c>
      <c r="Q9" s="16" t="n">
        <v>4</v>
      </c>
      <c r="R9" s="12" t="inlineStr">
        <is>
          <t>2 dni</t>
        </is>
      </c>
      <c r="S9" s="12" t="inlineStr">
        <is>
          <t>NIE</t>
        </is>
      </c>
      <c r="T9" s="12">
        <f>IF(P9&gt;=3,"BOTTLENECK",IF(P9&gt;=2,"UWAGA",""))</f>
        <v/>
      </c>
      <c r="U9" s="12">
        <f>IF(OR(F9="",H9=""),"-",NETWORKDAYS(F9,H9)-1)</f>
        <v/>
      </c>
      <c r="V9" s="13" t="inlineStr"/>
      <c r="Y9" s="17" t="inlineStr">
        <is>
          <t>Gotowe / do wklejenia</t>
        </is>
      </c>
      <c r="Z9" s="18">
        <f>COUNTIF(D2:D200,"Gotowe / czeka na wklejenie")</f>
        <v/>
      </c>
      <c r="AM9" s="35" t="inlineStr">
        <is>
          <t>Faktyczny czas budowy to ~30% SLA — reszta to bufor na feedback klienta</t>
        </is>
      </c>
      <c r="AZ9" s="12" t="n">
        <v>6</v>
      </c>
      <c r="BA9" s="13" t="inlineStr">
        <is>
          <t>GeoStay (PL+RU)</t>
        </is>
      </c>
      <c r="BB9" s="12" t="inlineStr">
        <is>
          <t>Wysoka</t>
        </is>
      </c>
      <c r="BC9" s="27" t="n">
        <v>3</v>
      </c>
      <c r="BD9" s="12" t="n">
        <v>0</v>
      </c>
      <c r="BE9" s="12" t="n">
        <v>3</v>
      </c>
      <c r="BF9" s="12" t="n">
        <v>5</v>
      </c>
      <c r="BG9" s="8" t="n">
        <v>85</v>
      </c>
      <c r="BH9" s="12" t="inlineStr">
        <is>
          <t>⭐⭐⭐⭐</t>
        </is>
      </c>
      <c r="BI9" s="12" t="inlineStr">
        <is>
          <t>Nowy jezyk</t>
        </is>
      </c>
    </row>
    <row r="10" ht="22" customHeight="1">
      <c r="A10" s="6" t="n">
        <v>9</v>
      </c>
      <c r="B10" s="7" t="inlineStr">
        <is>
          <t>MADERA (Madera Centrum)</t>
        </is>
      </c>
      <c r="C10" s="6" t="n">
        <v>45553</v>
      </c>
      <c r="D10" s="8" t="inlineStr">
        <is>
          <t>Zakończona</t>
        </is>
      </c>
      <c r="E10" s="7" t="inlineStr">
        <is>
          <t>http://www.maderacentrum.pl/</t>
        </is>
      </c>
      <c r="F10" s="9" t="n">
        <v>46047</v>
      </c>
      <c r="G10" s="9" t="n">
        <v>46054</v>
      </c>
      <c r="H10" s="9" t="n">
        <v>46098</v>
      </c>
      <c r="I10" s="6" t="inlineStr">
        <is>
          <t>Wysoka</t>
        </is>
      </c>
      <c r="J10" s="6" t="inlineStr">
        <is>
          <t>PL+EN</t>
        </is>
      </c>
      <c r="K10" s="10" t="n">
        <v>10</v>
      </c>
      <c r="L10" s="10" t="n">
        <v>20</v>
      </c>
      <c r="M10" s="10">
        <f>IF(L10=0,0,CEILING(L10/8,1))</f>
        <v/>
      </c>
      <c r="N10" s="6">
        <f>IF(K10=0,"-",K10-M10)</f>
        <v/>
      </c>
      <c r="O10" s="6">
        <f>IF(K10=0,"-",IF(M10&lt;=K10,"TAK","PRZEKROCZONO"))</f>
        <v/>
      </c>
      <c r="P10" s="10" t="n">
        <v>3</v>
      </c>
      <c r="Q10" s="10" t="n">
        <v>18</v>
      </c>
      <c r="R10" s="6" t="inlineStr">
        <is>
          <t>3 dni</t>
        </is>
      </c>
      <c r="S10" s="6" t="inlineStr">
        <is>
          <t>TAK</t>
        </is>
      </c>
      <c r="T10" s="36">
        <f>IF(P10&gt;=3,"BOTTLENECK",IF(P10&gt;=2,"UWAGA",""))</f>
        <v/>
      </c>
      <c r="U10" s="6">
        <f>IF(OR(F10="",H10=""),"-",NETWORKDAYS(F10,H10)-1)</f>
        <v/>
      </c>
      <c r="V10" s="7" t="inlineStr"/>
      <c r="Y10" s="22" t="inlineStr">
        <is>
          <t>Zablokowane (klient)</t>
        </is>
      </c>
      <c r="Z10" s="23">
        <f>COUNTIF(D2:D200,"Czekamy na klienta")+COUNTIF(D2:D200,"Gotowe / czeka na wklejenie")+COUNTIF(D2:D200,"Czekamy na materiały")</f>
        <v/>
      </c>
      <c r="AM10" s="37" t="inlineStr">
        <is>
          <t>KALKULATOR — wpisz klienta i date briefu</t>
        </is>
      </c>
      <c r="AZ10" s="25" t="n">
        <v>7</v>
      </c>
      <c r="BA10" s="26" t="inlineStr">
        <is>
          <t>Mazurski Chill</t>
        </is>
      </c>
      <c r="BB10" s="25" t="inlineStr">
        <is>
          <t>Średnia</t>
        </is>
      </c>
      <c r="BC10" s="27" t="n">
        <v>3</v>
      </c>
      <c r="BD10" s="25" t="n">
        <v>1</v>
      </c>
      <c r="BE10" s="25" t="n">
        <v>4</v>
      </c>
      <c r="BF10" s="25" t="n">
        <v>5</v>
      </c>
      <c r="BG10" s="28" t="n">
        <v>78</v>
      </c>
      <c r="BH10" s="25" t="inlineStr">
        <is>
          <t>⭐⭐⭐</t>
        </is>
      </c>
      <c r="BI10" s="25" t="inlineStr">
        <is>
          <t>Stabilny</t>
        </is>
      </c>
    </row>
    <row r="11" ht="22" customHeight="1">
      <c r="A11" s="12" t="n">
        <v>10</v>
      </c>
      <c r="B11" s="13" t="inlineStr">
        <is>
          <t>NAJMAR</t>
        </is>
      </c>
      <c r="C11" s="12" t="n">
        <v>57656</v>
      </c>
      <c r="D11" s="14" t="inlineStr">
        <is>
          <t>Czekamy na klienta</t>
        </is>
      </c>
      <c r="E11" s="13" t="inlineStr">
        <is>
          <t>https://client57656.idosell.com/</t>
        </is>
      </c>
      <c r="F11" s="15" t="n">
        <v>46011</v>
      </c>
      <c r="G11" s="15" t="n">
        <v>46027</v>
      </c>
      <c r="H11" s="13" t="n"/>
      <c r="I11" s="12" t="inlineStr">
        <is>
          <t>Bardzo wysoka</t>
        </is>
      </c>
      <c r="J11" s="12" t="inlineStr">
        <is>
          <t>PL</t>
        </is>
      </c>
      <c r="K11" s="16" t="n">
        <v>14</v>
      </c>
      <c r="L11" s="16" t="n">
        <v>35</v>
      </c>
      <c r="M11" s="16">
        <f>IF(L11=0,0,CEILING(L11/8,1))</f>
        <v/>
      </c>
      <c r="N11" s="12">
        <f>IF(K11=0,"-",K11-M11)</f>
        <v/>
      </c>
      <c r="O11" s="12">
        <f>IF(K11=0,"-",IF(M11&lt;=K11,"TAK","PRZEKROCZONO"))</f>
        <v/>
      </c>
      <c r="P11" s="16" t="n">
        <v>14</v>
      </c>
      <c r="Q11" s="16" t="n">
        <v>33</v>
      </c>
      <c r="R11" s="12" t="inlineStr">
        <is>
          <t>2 dni</t>
        </is>
      </c>
      <c r="S11" s="12" t="inlineStr">
        <is>
          <t>TAK</t>
        </is>
      </c>
      <c r="T11" s="36">
        <f>IF(P11&gt;=3,"BOTTLENECK",IF(P11&gt;=2,"UWAGA",""))</f>
        <v/>
      </c>
      <c r="U11" s="12">
        <f>IF(OR(F11="",H11=""),"-",NETWORKDAYS(F11,H11)-1)</f>
        <v/>
      </c>
      <c r="V11" s="13" t="inlineStr"/>
      <c r="Y11" s="17" t="inlineStr">
        <is>
          <t>% ukonczenia</t>
        </is>
      </c>
      <c r="Z11" s="38">
        <f>IFERROR(Z4/Z3,0)</f>
        <v/>
      </c>
      <c r="AM11" s="39" t="inlineStr">
        <is>
          <t>Klient</t>
        </is>
      </c>
      <c r="AN11" s="39" t="inlineStr">
        <is>
          <t>Typ projektu (wybierz)</t>
        </is>
      </c>
      <c r="AO11" s="39" t="inlineStr">
        <is>
          <t>Brief wyslany</t>
        </is>
      </c>
      <c r="AP11" s="39" t="inlineStr">
        <is>
          <t>Szac. gotowosc</t>
        </is>
      </c>
      <c r="AQ11" s="39" t="inlineStr">
        <is>
          <t>Dni rob. pozostalo</t>
        </is>
      </c>
      <c r="AR11" s="39" t="inlineStr">
        <is>
          <t>PRIORYTET</t>
        </is>
      </c>
      <c r="AZ11" s="12" t="n">
        <v>8</v>
      </c>
      <c r="BA11" s="13" t="inlineStr">
        <is>
          <t>Madera Centrum</t>
        </is>
      </c>
      <c r="BB11" s="12" t="inlineStr">
        <is>
          <t>Wysoka</t>
        </is>
      </c>
      <c r="BC11" s="33" t="n">
        <v>5</v>
      </c>
      <c r="BD11" s="12" t="n">
        <v>3</v>
      </c>
      <c r="BE11" s="12" t="n">
        <v>8</v>
      </c>
      <c r="BF11" s="12" t="n">
        <v>6</v>
      </c>
      <c r="BG11" s="28" t="n">
        <v>70</v>
      </c>
      <c r="BH11" s="12" t="inlineStr">
        <is>
          <t>⭐⭐⭐</t>
        </is>
      </c>
      <c r="BI11" s="12" t="inlineStr">
        <is>
          <t>Scope creep</t>
        </is>
      </c>
    </row>
    <row r="12" ht="22" customHeight="1">
      <c r="A12" s="6" t="n">
        <v>11</v>
      </c>
      <c r="B12" s="7" t="inlineStr">
        <is>
          <t>EcoCamping (Krzysztof Dostal)</t>
        </is>
      </c>
      <c r="C12" s="6" t="n">
        <v>57820</v>
      </c>
      <c r="D12" s="40" t="inlineStr">
        <is>
          <t>W realizacji</t>
        </is>
      </c>
      <c r="E12" s="7" t="inlineStr">
        <is>
          <t>http://client57820.idosell.com/</t>
        </is>
      </c>
      <c r="F12" s="9" t="n">
        <v>46086</v>
      </c>
      <c r="G12" s="9" t="n">
        <v>46091</v>
      </c>
      <c r="H12" s="7" t="n"/>
      <c r="I12" s="6" t="inlineStr">
        <is>
          <t>Bardzo wysoka</t>
        </is>
      </c>
      <c r="J12" s="6" t="inlineStr">
        <is>
          <t>PL+EN</t>
        </is>
      </c>
      <c r="K12" s="10" t="n">
        <v>14</v>
      </c>
      <c r="L12" s="10" t="n">
        <v>28</v>
      </c>
      <c r="M12" s="10">
        <f>IF(L12=0,0,CEILING(L12/8,1))</f>
        <v/>
      </c>
      <c r="N12" s="6">
        <f>IF(K12=0,"-",K12-M12)</f>
        <v/>
      </c>
      <c r="O12" s="6">
        <f>IF(K12=0,"-",IF(M12&lt;=K12,"TAK","PRZEKROCZONO"))</f>
        <v/>
      </c>
      <c r="P12" s="10" t="n">
        <v>2</v>
      </c>
      <c r="Q12" s="10" t="n">
        <v>22</v>
      </c>
      <c r="R12" s="6" t="inlineStr">
        <is>
          <t>3 dni</t>
        </is>
      </c>
      <c r="S12" s="6" t="inlineStr">
        <is>
          <t>TAK</t>
        </is>
      </c>
      <c r="T12" s="33">
        <f>IF(P12&gt;=3,"BOTTLENECK",IF(P12&gt;=2,"UWAGA",""))</f>
        <v/>
      </c>
      <c r="U12" s="6">
        <f>IF(OR(F12="",H12=""),"-",NETWORKDAYS(F12,H12)-1)</f>
        <v/>
      </c>
      <c r="V12" s="7" t="inlineStr">
        <is>
          <t>Aktywny — trwają poprawki</t>
        </is>
      </c>
      <c r="Y12" s="22" t="inlineStr">
        <is>
          <t>Avg SLA zakl. (dni)</t>
        </is>
      </c>
      <c r="Z12" s="41">
        <f>IFERROR(AVERAGEIF(K2:K200,"&gt;"&amp;0,K2:K200),0)</f>
        <v/>
      </c>
      <c r="AM12" s="42" t="inlineStr">
        <is>
          <t>Mountain Prestige MAR (PRZYKLAD)</t>
        </is>
      </c>
      <c r="AN12" s="42" t="inlineStr">
        <is>
          <t>Standardowe (7 dni)</t>
        </is>
      </c>
      <c r="AO12" s="43" t="n">
        <v>46122</v>
      </c>
      <c r="AP12" s="44">
        <f>IF(OR(AO12="",AN12=""),"",WORKDAY(AO12,2+IF(AN12="Minimalne (3 dni)",3,IF(AN12="Standardowe (7 dni)",7,IF(AN12="Rozszerzone (10 dni)",10,14)))))</f>
        <v/>
      </c>
      <c r="AQ12" s="45">
        <f>IF(AP12="","",IF(TODAY()&gt;AP12,"PRZEKROCZONE!",MAX(0,NETWORKDAYS(TODAY(),AP12)-1)))</f>
        <v/>
      </c>
      <c r="AR12" s="46">
        <f>IF(AQ12="","",IF(AQ12="PRZEKROCZONE!","PO TERMINIE",IF(AND(ISNUMBER(AQ12),AQ12&lt;=3),"PILNE",IF(AND(ISNUMBER(AQ12),AQ12&lt;=7),"Wkrotce","OK"))))</f>
        <v/>
      </c>
      <c r="AZ12" s="25" t="n">
        <v>9</v>
      </c>
      <c r="BA12" s="26" t="inlineStr">
        <is>
          <t>NAJMAR</t>
        </is>
      </c>
      <c r="BB12" s="25" t="inlineStr">
        <is>
          <t>Bardzo wysoka</t>
        </is>
      </c>
      <c r="BC12" s="36" t="n">
        <v>14</v>
      </c>
      <c r="BD12" s="25" t="n">
        <v>14</v>
      </c>
      <c r="BE12" s="25" t="n">
        <v>33</v>
      </c>
      <c r="BF12" s="25" t="n">
        <v>5</v>
      </c>
      <c r="BG12" s="34" t="n">
        <v>50</v>
      </c>
      <c r="BH12" s="25" t="inlineStr">
        <is>
          <t>⭐⭐</t>
        </is>
      </c>
      <c r="BI12" s="25" t="inlineStr">
        <is>
          <t>Najtrudniejszy</t>
        </is>
      </c>
    </row>
    <row r="13" ht="22" customHeight="1">
      <c r="A13" s="12" t="n">
        <v>12</v>
      </c>
      <c r="B13" s="13" t="inlineStr">
        <is>
          <t>MENTALIS</t>
        </is>
      </c>
      <c r="C13" s="12" t="n">
        <v>23326</v>
      </c>
      <c r="D13" s="28" t="inlineStr">
        <is>
          <t>Brief</t>
        </is>
      </c>
      <c r="E13" s="13" t="inlineStr">
        <is>
          <t>https://client23326.idosell.com/</t>
        </is>
      </c>
      <c r="F13" s="15" t="n">
        <v>46096</v>
      </c>
      <c r="G13" s="13" t="n"/>
      <c r="H13" s="13" t="n"/>
      <c r="I13" s="12" t="inlineStr">
        <is>
          <t>Brief</t>
        </is>
      </c>
      <c r="J13" s="12" t="inlineStr">
        <is>
          <t>?</t>
        </is>
      </c>
      <c r="K13" s="16" t="n">
        <v>0</v>
      </c>
      <c r="L13" s="16" t="n">
        <v>0</v>
      </c>
      <c r="M13" s="16">
        <f>IF(L13=0,0,CEILING(L13/8,1))</f>
        <v/>
      </c>
      <c r="N13" s="12">
        <f>IF(K13=0,"-",K13-M13)</f>
        <v/>
      </c>
      <c r="O13" s="12">
        <f>IF(K13=0,"-",IF(M13&lt;=K13,"TAK","PRZEKROCZONO"))</f>
        <v/>
      </c>
      <c r="P13" s="16" t="n">
        <v>0</v>
      </c>
      <c r="Q13" s="16" t="n">
        <v>0</v>
      </c>
      <c r="R13" s="12" t="inlineStr">
        <is>
          <t>-</t>
        </is>
      </c>
      <c r="S13" s="12" t="inlineStr">
        <is>
          <t>NIE</t>
        </is>
      </c>
      <c r="T13" s="12">
        <f>IF(P13&gt;=3,"BOTTLENECK",IF(P13&gt;=2,"UWAGA",""))</f>
        <v/>
      </c>
      <c r="U13" s="12">
        <f>IF(OR(F13="",H13=""),"-",NETWORKDAYS(F13,H13)-1)</f>
        <v/>
      </c>
      <c r="V13" s="13" t="inlineStr"/>
      <c r="Y13" s="17" t="inlineStr">
        <is>
          <t>Avg SLA rzecz. (dni)</t>
        </is>
      </c>
      <c r="Z13" s="47">
        <f>IFERROR(AVERAGEIF(M2:M200,"&gt;"&amp;0,M2:M200),0)</f>
        <v/>
      </c>
      <c r="AM13" s="13" t="inlineStr"/>
      <c r="AN13" s="13" t="inlineStr"/>
      <c r="AO13" s="48" t="inlineStr"/>
      <c r="AP13" s="48">
        <f>IF(OR(AO13="",AN13=""),"",WORKDAY(AO13,2+IF(AN13="Minimalne (3 dni)",3,IF(AN13="Standardowe (7 dni)",7,IF(AN13="Rozszerzone (10 dni)",10,14)))))</f>
        <v/>
      </c>
      <c r="AQ13" s="12">
        <f>IF(AP13="","",IF(TODAY()&gt;AP13,"PRZEKROCZONE!",MAX(0,NETWORKDAYS(TODAY(),AP13)-1)))</f>
        <v/>
      </c>
      <c r="AR13" s="49">
        <f>IF(AQ13="","",IF(AQ13="PRZEKROCZONE!","PO TERMINIE",IF(AND(ISNUMBER(AQ13),AQ13&lt;=3),"PILNE",IF(AND(ISNUMBER(AQ13),AQ13&lt;=7),"Wkrotce","OK"))))</f>
        <v/>
      </c>
      <c r="AZ13" s="12" t="n">
        <v>10</v>
      </c>
      <c r="BA13" s="13" t="inlineStr">
        <is>
          <t>EcoCamping</t>
        </is>
      </c>
      <c r="BB13" s="12" t="inlineStr">
        <is>
          <t>Bardzo wysoka</t>
        </is>
      </c>
      <c r="BC13" s="33" t="n">
        <v>5</v>
      </c>
      <c r="BD13" s="12" t="n">
        <v>2</v>
      </c>
      <c r="BE13" s="12" t="n">
        <v>10</v>
      </c>
      <c r="BF13" s="12" t="n">
        <v>8</v>
      </c>
      <c r="BG13" s="8" t="n">
        <v>85</v>
      </c>
      <c r="BH13" s="12" t="inlineStr">
        <is>
          <t>⭐⭐⭐⭐</t>
        </is>
      </c>
      <c r="BI13" s="12" t="inlineStr">
        <is>
          <t>Mapa+JS</t>
        </is>
      </c>
    </row>
    <row r="14" ht="22" customHeight="1">
      <c r="A14" s="6" t="n">
        <v>13</v>
      </c>
      <c r="B14" s="7" t="inlineStr">
        <is>
          <t>MARCIN SKRZYPCZAK</t>
        </is>
      </c>
      <c r="C14" s="6" t="n">
        <v>33019</v>
      </c>
      <c r="D14" s="28" t="inlineStr">
        <is>
          <t>Brief</t>
        </is>
      </c>
      <c r="E14" s="7" t="inlineStr">
        <is>
          <t>https://client33019.idosell.com/</t>
        </is>
      </c>
      <c r="F14" s="9" t="n">
        <v>46101</v>
      </c>
      <c r="G14" s="7" t="n"/>
      <c r="H14" s="7" t="n"/>
      <c r="I14" s="6" t="inlineStr">
        <is>
          <t>Brief</t>
        </is>
      </c>
      <c r="J14" s="6" t="inlineStr">
        <is>
          <t>?</t>
        </is>
      </c>
      <c r="K14" s="10" t="n">
        <v>0</v>
      </c>
      <c r="L14" s="10" t="n">
        <v>0</v>
      </c>
      <c r="M14" s="10">
        <f>IF(L14=0,0,CEILING(L14/8,1))</f>
        <v/>
      </c>
      <c r="N14" s="6">
        <f>IF(K14=0,"-",K14-M14)</f>
        <v/>
      </c>
      <c r="O14" s="6">
        <f>IF(K14=0,"-",IF(M14&lt;=K14,"TAK","PRZEKROCZONO"))</f>
        <v/>
      </c>
      <c r="P14" s="10" t="n">
        <v>0</v>
      </c>
      <c r="Q14" s="10" t="n">
        <v>0</v>
      </c>
      <c r="R14" s="6" t="inlineStr">
        <is>
          <t>-</t>
        </is>
      </c>
      <c r="S14" s="6" t="inlineStr">
        <is>
          <t>NIE</t>
        </is>
      </c>
      <c r="T14" s="6">
        <f>IF(P14&gt;=3,"BOTTLENECK",IF(P14&gt;=2,"UWAGA",""))</f>
        <v/>
      </c>
      <c r="U14" s="6">
        <f>IF(OR(F14="",H14=""),"-",NETWORKDAYS(F14,H14)-1)</f>
        <v/>
      </c>
      <c r="V14" s="7" t="inlineStr"/>
      <c r="Y14" s="22" t="inlineStr">
        <is>
          <t>Avg rezerwa (dni)</t>
        </is>
      </c>
      <c r="Z14" s="41">
        <f>IFERROR(Z12-Z13,0)</f>
        <v/>
      </c>
      <c r="AM14" s="50" t="inlineStr"/>
      <c r="AN14" s="50" t="inlineStr"/>
      <c r="AO14" s="44" t="inlineStr"/>
      <c r="AP14" s="44">
        <f>IF(OR(AO14="",AN14=""),"",WORKDAY(AO14,2+IF(AN14="Minimalne (3 dni)",3,IF(AN14="Standardowe (7 dni)",7,IF(AN14="Rozszerzone (10 dni)",10,14)))))</f>
        <v/>
      </c>
      <c r="AQ14" s="45">
        <f>IF(AP14="","",IF(TODAY()&gt;AP14,"PRZEKROCZONE!",MAX(0,NETWORKDAYS(TODAY(),AP14)-1)))</f>
        <v/>
      </c>
      <c r="AR14" s="46">
        <f>IF(AQ14="","",IF(AQ14="PRZEKROCZONE!","PO TERMINIE",IF(AND(ISNUMBER(AQ14),AQ14&lt;=3),"PILNE",IF(AND(ISNUMBER(AQ14),AQ14&lt;=7),"Wkrotce","OK"))))</f>
        <v/>
      </c>
      <c r="AZ14" s="25" t="n">
        <v>11</v>
      </c>
      <c r="BA14" s="26" t="inlineStr">
        <is>
          <t>SORS Eagle Tower</t>
        </is>
      </c>
      <c r="BB14" s="25" t="inlineStr">
        <is>
          <t>Bardzo wysoka</t>
        </is>
      </c>
      <c r="BC14" s="27" t="n">
        <v>3</v>
      </c>
      <c r="BD14" s="25" t="n">
        <v>2</v>
      </c>
      <c r="BE14" s="25" t="n">
        <v>6</v>
      </c>
      <c r="BF14" s="25" t="n">
        <v>9</v>
      </c>
      <c r="BG14" s="8" t="n">
        <v>90</v>
      </c>
      <c r="BH14" s="25" t="inlineStr">
        <is>
          <t>⭐⭐⭐⭐⭐</t>
        </is>
      </c>
      <c r="BI14" s="25" t="inlineStr">
        <is>
          <t>REKORD 4 jezyki</t>
        </is>
      </c>
    </row>
    <row r="15" ht="24" customHeight="1">
      <c r="A15" s="12" t="n">
        <v>14</v>
      </c>
      <c r="B15" s="13" t="inlineStr">
        <is>
          <t>WCA Wrocław City Apartments</t>
        </is>
      </c>
      <c r="C15" s="12" t="n">
        <v>6645</v>
      </c>
      <c r="D15" s="21" t="inlineStr">
        <is>
          <t>Gotowe / czeka na wklejenie</t>
        </is>
      </c>
      <c r="E15" s="13" t="inlineStr">
        <is>
          <t>https://wroclawcityapartments.pl/</t>
        </is>
      </c>
      <c r="F15" s="15" t="n">
        <v>46096</v>
      </c>
      <c r="G15" s="15" t="n">
        <v>46101</v>
      </c>
      <c r="H15" s="13" t="n"/>
      <c r="I15" s="12" t="inlineStr">
        <is>
          <t>Niska</t>
        </is>
      </c>
      <c r="J15" s="12" t="inlineStr">
        <is>
          <t>PL</t>
        </is>
      </c>
      <c r="K15" s="16" t="n">
        <v>3</v>
      </c>
      <c r="L15" s="16" t="n">
        <v>5</v>
      </c>
      <c r="M15" s="16">
        <f>IF(L15=0,0,CEILING(L15/8,1))</f>
        <v/>
      </c>
      <c r="N15" s="12">
        <f>IF(K15=0,"-",K15-M15)</f>
        <v/>
      </c>
      <c r="O15" s="12">
        <f>IF(K15=0,"-",IF(M15&lt;=K15,"TAK","PRZEKROCZONO"))</f>
        <v/>
      </c>
      <c r="P15" s="16" t="n">
        <v>0</v>
      </c>
      <c r="Q15" s="16" t="n">
        <v>0</v>
      </c>
      <c r="R15" s="12" t="inlineStr">
        <is>
          <t>3 dni</t>
        </is>
      </c>
      <c r="S15" s="12" t="inlineStr">
        <is>
          <t>NIE</t>
        </is>
      </c>
      <c r="T15" s="12">
        <f>IF(P15&gt;=3,"BOTTLENECK",IF(P15&gt;=2,"UWAGA",""))</f>
        <v/>
      </c>
      <c r="U15" s="12">
        <f>IF(OR(F15="",H15=""),"-",NETWORKDAYS(F15,H15)-1)</f>
        <v/>
      </c>
      <c r="V15" s="13" t="inlineStr"/>
      <c r="Y15" s="17" t="inlineStr">
        <is>
          <t>SLA dotrzymane (%)</t>
        </is>
      </c>
      <c r="Z15" s="38">
        <f>IFERROR(COUNTIF(O2:O200,"TAK")/COUNTIF(O2:O200,"&lt;&gt;-"),0)</f>
        <v/>
      </c>
      <c r="AM15" s="13" t="inlineStr"/>
      <c r="AN15" s="13" t="inlineStr"/>
      <c r="AO15" s="48" t="inlineStr"/>
      <c r="AP15" s="48">
        <f>IF(OR(AO15="",AN15=""),"",WORKDAY(AO15,2+IF(AN15="Minimalne (3 dni)",3,IF(AN15="Standardowe (7 dni)",7,IF(AN15="Rozszerzone (10 dni)",10,14)))))</f>
        <v/>
      </c>
      <c r="AQ15" s="12">
        <f>IF(AP15="","",IF(TODAY()&gt;AP15,"PRZEKROCZONE!",MAX(0,NETWORKDAYS(TODAY(),AP15)-1)))</f>
        <v/>
      </c>
      <c r="AR15" s="49">
        <f>IF(AQ15="","",IF(AQ15="PRZEKROCZONE!","PO TERMINIE",IF(AND(ISNUMBER(AQ15),AQ15&lt;=3),"PILNE",IF(AND(ISNUMBER(AQ15),AQ15&lt;=7),"Wkrotce","OK"))))</f>
        <v/>
      </c>
      <c r="AZ15" s="51" t="inlineStr">
        <is>
          <t>TREND AUTONOMII: 75% -&gt; 90% (projekt 1 -&gt; 11)</t>
        </is>
      </c>
    </row>
    <row r="16" ht="18" customHeight="1">
      <c r="A16" s="6" t="n">
        <v>15</v>
      </c>
      <c r="B16" s="7" t="inlineStr">
        <is>
          <t>SORS Eagle Tower (Paweł Pasławski)</t>
        </is>
      </c>
      <c r="C16" s="6" t="n">
        <v>51651</v>
      </c>
      <c r="D16" s="40" t="inlineStr">
        <is>
          <t>W realizacji</t>
        </is>
      </c>
      <c r="E16" s="7" t="inlineStr">
        <is>
          <t>https://client51651.idosell.com/</t>
        </is>
      </c>
      <c r="F16" s="9" t="n">
        <v>46091</v>
      </c>
      <c r="G16" s="9" t="n">
        <v>46096</v>
      </c>
      <c r="H16" s="7" t="n"/>
      <c r="I16" s="6" t="inlineStr">
        <is>
          <t>Bardzo wysoka</t>
        </is>
      </c>
      <c r="J16" s="6" t="inlineStr">
        <is>
          <t>PL+EN+DE+ES</t>
        </is>
      </c>
      <c r="K16" s="10" t="n">
        <v>14</v>
      </c>
      <c r="L16" s="10" t="n">
        <v>22</v>
      </c>
      <c r="M16" s="10">
        <f>IF(L16=0,0,CEILING(L16/8,1))</f>
        <v/>
      </c>
      <c r="N16" s="6">
        <f>IF(K16=0,"-",K16-M16)</f>
        <v/>
      </c>
      <c r="O16" s="6">
        <f>IF(K16=0,"-",IF(M16&lt;=K16,"TAK","PRZEKROCZONO"))</f>
        <v/>
      </c>
      <c r="P16" s="10" t="n">
        <v>2</v>
      </c>
      <c r="Q16" s="10" t="n">
        <v>9</v>
      </c>
      <c r="R16" s="6" t="inlineStr">
        <is>
          <t>2 dni</t>
        </is>
      </c>
      <c r="S16" s="6" t="inlineStr">
        <is>
          <t>NIE</t>
        </is>
      </c>
      <c r="T16" s="33">
        <f>IF(P16&gt;=3,"BOTTLENECK",IF(P16&gt;=2,"UWAGA",""))</f>
        <v/>
      </c>
      <c r="U16" s="6">
        <f>IF(OR(F16="",H16=""),"-",NETWORKDAYS(F16,H16)-1)</f>
        <v/>
      </c>
      <c r="V16" s="7" t="inlineStr">
        <is>
          <t>META titles do wklejenia</t>
        </is>
      </c>
      <c r="Y16" s="22" t="inlineStr">
        <is>
          <t>Rundy poprawek lacznie</t>
        </is>
      </c>
      <c r="Z16" s="23">
        <f>SUM(P2:P200)</f>
        <v/>
      </c>
      <c r="AM16" s="50" t="inlineStr"/>
      <c r="AN16" s="50" t="inlineStr"/>
      <c r="AO16" s="44" t="inlineStr"/>
      <c r="AP16" s="44">
        <f>IF(OR(AO16="",AN16=""),"",WORKDAY(AO16,2+IF(AN16="Minimalne (3 dni)",3,IF(AN16="Standardowe (7 dni)",7,IF(AN16="Rozszerzone (10 dni)",10,14)))))</f>
        <v/>
      </c>
      <c r="AQ16" s="45">
        <f>IF(AP16="","",IF(TODAY()&gt;AP16,"PRZEKROCZONE!",MAX(0,NETWORKDAYS(TODAY(),AP16)-1)))</f>
        <v/>
      </c>
      <c r="AR16" s="46">
        <f>IF(AQ16="","",IF(AQ16="PRZEKROCZONE!","PO TERMINIE",IF(AND(ISNUMBER(AQ16),AQ16&lt;=3),"PILNE",IF(AND(ISNUMBER(AQ16),AQ16&lt;=7),"Wkrotce","OK"))))</f>
        <v/>
      </c>
      <c r="AZ16" s="52" t="inlineStr">
        <is>
          <t>Projekt 9 (NAJMAR) = dolek — brak freeze scope → LEKCJA: ZAWSZE akceptuj brief przed startem</t>
        </is>
      </c>
    </row>
    <row r="17" ht="18" customHeight="1">
      <c r="Y17" s="17" t="inlineStr">
        <is>
          <t>Bottlenecki (&gt;=3 rundy)</t>
        </is>
      </c>
      <c r="Z17" s="18">
        <f>COUNTIF(T2:T200,"BOTTLENECK")</f>
        <v/>
      </c>
      <c r="AM17" s="13" t="inlineStr"/>
      <c r="AN17" s="13" t="inlineStr"/>
      <c r="AO17" s="48" t="inlineStr"/>
      <c r="AP17" s="48">
        <f>IF(OR(AO17="",AN17=""),"",WORKDAY(AO17,2+IF(AN17="Minimalne (3 dni)",3,IF(AN17="Standardowe (7 dni)",7,IF(AN17="Rozszerzone (10 dni)",10,14)))))</f>
        <v/>
      </c>
      <c r="AQ17" s="12">
        <f>IF(AP17="","",IF(TODAY()&gt;AP17,"PRZEKROCZONE!",MAX(0,NETWORKDAYS(TODAY(),AP17)-1)))</f>
        <v/>
      </c>
      <c r="AR17" s="49">
        <f>IF(AQ17="","",IF(AQ17="PRZEKROCZONE!","PO TERMINIE",IF(AND(ISNUMBER(AQ17),AQ17&lt;=3),"PILNE",IF(AND(ISNUMBER(AQ17),AQ17&lt;=7),"Wkrotce","OK"))))</f>
        <v/>
      </c>
      <c r="AZ17" s="53" t="inlineStr">
        <is>
          <t>Projekt 11 (SORS) = REKORD: 4 jezyki w 3 sesjach → 90% autonomii</t>
        </is>
      </c>
    </row>
    <row r="18" ht="18" customHeight="1">
      <c r="Y18" s="22" t="inlineStr">
        <is>
          <t>Avg lead time (dni rob)</t>
        </is>
      </c>
      <c r="Z18" s="41">
        <f>IFERROR(AVERAGEIF(U2:U200,"&lt;&gt;-",U2:U200),0)</f>
        <v/>
      </c>
      <c r="AM18" s="50" t="inlineStr"/>
      <c r="AN18" s="50" t="inlineStr"/>
      <c r="AO18" s="44" t="inlineStr"/>
      <c r="AP18" s="44">
        <f>IF(OR(AO18="",AN18=""),"",WORKDAY(AO18,2+IF(AN18="Minimalne (3 dni)",3,IF(AN18="Standardowe (7 dni)",7,IF(AN18="Rozszerzone (10 dni)",10,14)))))</f>
        <v/>
      </c>
      <c r="AQ18" s="45">
        <f>IF(AP18="","",IF(TODAY()&gt;AP18,"PRZEKROCZONE!",MAX(0,NETWORKDAYS(TODAY(),AP18)-1)))</f>
        <v/>
      </c>
      <c r="AR18" s="46">
        <f>IF(AQ18="","",IF(AQ18="PRZEKROCZONE!","PO TERMINIE",IF(AND(ISNUMBER(AQ18),AQ18&lt;=3),"PILNE",IF(AND(ISNUMBER(AQ18),AQ18&lt;=7),"Wkrotce","OK"))))</f>
        <v/>
      </c>
      <c r="AZ18" s="54" t="inlineStr">
        <is>
          <t>Od projektu 5+: IdoBooking traps stosowane automatycznie (OSOBY, overlay, z-index, header)</t>
        </is>
      </c>
    </row>
    <row r="19" ht="24" customHeight="1">
      <c r="Y19" s="17" t="inlineStr">
        <is>
          <t>Proj. z feedbackiem</t>
        </is>
      </c>
      <c r="Z19" s="18">
        <f>COUNTIF(S2:S200,"TAK")</f>
        <v/>
      </c>
      <c r="AM19" s="13" t="inlineStr"/>
      <c r="AN19" s="13" t="inlineStr"/>
      <c r="AO19" s="48" t="inlineStr"/>
      <c r="AP19" s="48">
        <f>IF(OR(AO19="",AN19=""),"",WORKDAY(AO19,2+IF(AN19="Minimalne (3 dni)",3,IF(AN19="Standardowe (7 dni)",7,IF(AN19="Rozszerzone (10 dni)",10,14)))))</f>
        <v/>
      </c>
      <c r="AQ19" s="12">
        <f>IF(AP19="","",IF(TODAY()&gt;AP19,"PRZEKROCZONE!",MAX(0,NETWORKDAYS(TODAY(),AP19)-1)))</f>
        <v/>
      </c>
      <c r="AR19" s="49">
        <f>IF(AQ19="","",IF(AQ19="PRZEKROCZONE!","PO TERMINIE",IF(AND(ISNUMBER(AQ19),AQ19&lt;=3),"PILNE",IF(AND(ISNUMBER(AQ19),AQ19&lt;=7),"Wkrotce","OK"))))</f>
        <v/>
      </c>
      <c r="AZ19" s="5" t="inlineStr">
        <is>
          <t>DANE DO WYKRESOW AI</t>
        </is>
      </c>
    </row>
    <row r="20" ht="20" customHeight="1">
      <c r="Y20" s="11" t="inlineStr">
        <is>
          <t>PIPELINE PROJEKTOW</t>
        </is>
      </c>
      <c r="AM20" s="50" t="inlineStr"/>
      <c r="AN20" s="50" t="inlineStr"/>
      <c r="AO20" s="44" t="inlineStr"/>
      <c r="AP20" s="44">
        <f>IF(OR(AO20="",AN20=""),"",WORKDAY(AO20,2+IF(AN20="Minimalne (3 dni)",3,IF(AN20="Standardowe (7 dni)",7,IF(AN20="Rozszerzone (10 dni)",10,14)))))</f>
        <v/>
      </c>
      <c r="AQ20" s="45">
        <f>IF(AP20="","",IF(TODAY()&gt;AP20,"PRZEKROCZONE!",MAX(0,NETWORKDAYS(TODAY(),AP20)-1)))</f>
        <v/>
      </c>
      <c r="AR20" s="46">
        <f>IF(AQ20="","",IF(AQ20="PRZEKROCZONE!","PO TERMINIE",IF(AND(ISNUMBER(AQ20),AQ20&lt;=3),"PILNE",IF(AND(ISNUMBER(AQ20),AQ20&lt;=7),"Wkrotce","OK"))))</f>
        <v/>
      </c>
      <c r="AZ20" s="20" t="inlineStr">
        <is>
          <t>Projekt</t>
        </is>
      </c>
      <c r="BA20" s="20" t="inlineStr">
        <is>
          <t>Autonomia(%)</t>
        </is>
      </c>
      <c r="BD20" s="20" t="inlineStr">
        <is>
          <t>Projekt</t>
        </is>
      </c>
      <c r="BE20" s="20" t="inlineStr">
        <is>
          <t>Sesje</t>
        </is>
      </c>
      <c r="BG20" s="20" t="inlineStr">
        <is>
          <t>Projekt</t>
        </is>
      </c>
      <c r="BH20" s="20" t="inlineStr">
        <is>
          <t>Wiedza(1-10)</t>
        </is>
      </c>
      <c r="BI20" t="inlineStr">
        <is>
          <t>Min. akceptowalny</t>
        </is>
      </c>
    </row>
    <row r="21" ht="18" customHeight="1">
      <c r="Y21" s="55" t="inlineStr">
        <is>
          <t>Status</t>
        </is>
      </c>
      <c r="Z21" s="55" t="inlineStr">
        <is>
          <t>Liczba</t>
        </is>
      </c>
      <c r="AA21" s="55" t="inlineStr">
        <is>
          <t>%</t>
        </is>
      </c>
      <c r="AB21" s="55" t="inlineStr">
        <is>
          <t>Pasek (20 znakow)</t>
        </is>
      </c>
      <c r="AM21" s="13" t="inlineStr"/>
      <c r="AN21" s="13" t="inlineStr"/>
      <c r="AO21" s="48" t="inlineStr"/>
      <c r="AP21" s="48">
        <f>IF(OR(AO21="",AN21=""),"",WORKDAY(AO21,2+IF(AN21="Minimalne (3 dni)",3,IF(AN21="Standardowe (7 dni)",7,IF(AN21="Rozszerzone (10 dni)",10,14)))))</f>
        <v/>
      </c>
      <c r="AQ21" s="12">
        <f>IF(AP21="","",IF(TODAY()&gt;AP21,"PRZEKROCZONE!",MAX(0,NETWORKDAYS(TODAY(),AP21)-1)))</f>
        <v/>
      </c>
      <c r="AR21" s="49">
        <f>IF(AQ21="","",IF(AQ21="PRZEKROCZONE!","PO TERMINIE",IF(AND(ISNUMBER(AQ21),AQ21&lt;=3),"PILNE",IF(AND(ISNUMBER(AQ21),AQ21&lt;=7),"Wkrotce","OK"))))</f>
        <v/>
      </c>
      <c r="AZ21" s="12" t="n">
        <v>1</v>
      </c>
      <c r="BA21" s="12" t="n">
        <v>75</v>
      </c>
      <c r="BD21" s="12" t="n">
        <v>1</v>
      </c>
      <c r="BE21" s="12" t="n">
        <v>2</v>
      </c>
      <c r="BG21" s="12" t="n">
        <v>1</v>
      </c>
      <c r="BH21" s="12" t="n">
        <v>2</v>
      </c>
      <c r="BI21" t="n">
        <v>70</v>
      </c>
    </row>
    <row r="22" ht="18" customHeight="1">
      <c r="Y22" s="56" t="inlineStr">
        <is>
          <t>Zakonczona</t>
        </is>
      </c>
      <c r="Z22" s="27">
        <f>COUNTIF(D2:D200,"Zakończona")</f>
        <v/>
      </c>
      <c r="AA22" s="57">
        <f>IFERROR(Z22/Z3,0)</f>
        <v/>
      </c>
      <c r="AB22" s="58">
        <f>REPT(CHAR(9608),MAX(0,ROUND(AA22*20,0)))&amp;REPT(CHAR(9617),MAX(0,20-ROUND(AA22*20,0)))&amp;"  "&amp;TEXT(AA22,"0%")</f>
        <v/>
      </c>
      <c r="AM22" s="50" t="inlineStr"/>
      <c r="AN22" s="50" t="inlineStr"/>
      <c r="AO22" s="44" t="inlineStr"/>
      <c r="AP22" s="44">
        <f>IF(OR(AO22="",AN22=""),"",WORKDAY(AO22,2+IF(AN22="Minimalne (3 dni)",3,IF(AN22="Standardowe (7 dni)",7,IF(AN22="Rozszerzone (10 dni)",10,14)))))</f>
        <v/>
      </c>
      <c r="AQ22" s="45">
        <f>IF(AP22="","",IF(TODAY()&gt;AP22,"PRZEKROCZONE!",MAX(0,NETWORKDAYS(TODAY(),AP22)-1)))</f>
        <v/>
      </c>
      <c r="AR22" s="46">
        <f>IF(AQ22="","",IF(AQ22="PRZEKROCZONE!","PO TERMINIE",IF(AND(ISNUMBER(AQ22),AQ22&lt;=3),"PILNE",IF(AND(ISNUMBER(AQ22),AQ22&lt;=7),"Wkrotce","OK"))))</f>
        <v/>
      </c>
      <c r="AZ22" s="25" t="n">
        <v>2</v>
      </c>
      <c r="BA22" s="25" t="n">
        <v>78</v>
      </c>
      <c r="BD22" s="25" t="n">
        <v>2</v>
      </c>
      <c r="BE22" s="25" t="n">
        <v>3</v>
      </c>
      <c r="BG22" s="25" t="n">
        <v>2</v>
      </c>
      <c r="BH22" s="25" t="n">
        <v>3</v>
      </c>
      <c r="BI22" t="n">
        <v>70</v>
      </c>
    </row>
    <row r="23" ht="18" customHeight="1">
      <c r="Y23" s="59" t="inlineStr">
        <is>
          <t>W realizacji</t>
        </is>
      </c>
      <c r="Z23" s="60">
        <f>COUNTIF(D2:D200,"W realizacji")</f>
        <v/>
      </c>
      <c r="AA23" s="61">
        <f>IFERROR(Z23/Z3,0)</f>
        <v/>
      </c>
      <c r="AB23" s="62">
        <f>REPT(CHAR(9608),MAX(0,ROUND(AA23*20,0)))&amp;REPT(CHAR(9617),MAX(0,20-ROUND(AA23*20,0)))&amp;"  "&amp;TEXT(AA23,"0%")</f>
        <v/>
      </c>
      <c r="AM23" s="13" t="inlineStr"/>
      <c r="AN23" s="13" t="inlineStr"/>
      <c r="AO23" s="48" t="inlineStr"/>
      <c r="AP23" s="48">
        <f>IF(OR(AO23="",AN23=""),"",WORKDAY(AO23,2+IF(AN23="Minimalne (3 dni)",3,IF(AN23="Standardowe (7 dni)",7,IF(AN23="Rozszerzone (10 dni)",10,14)))))</f>
        <v/>
      </c>
      <c r="AQ23" s="12">
        <f>IF(AP23="","",IF(TODAY()&gt;AP23,"PRZEKROCZONE!",MAX(0,NETWORKDAYS(TODAY(),AP23)-1)))</f>
        <v/>
      </c>
      <c r="AR23" s="49">
        <f>IF(AQ23="","",IF(AQ23="PRZEKROCZONE!","PO TERMINIE",IF(AND(ISNUMBER(AQ23),AQ23&lt;=3),"PILNE",IF(AND(ISNUMBER(AQ23),AQ23&lt;=7),"Wkrotce","OK"))))</f>
        <v/>
      </c>
      <c r="AZ23" s="12" t="n">
        <v>3</v>
      </c>
      <c r="BA23" s="12" t="n">
        <v>80</v>
      </c>
      <c r="BD23" s="12" t="n">
        <v>3</v>
      </c>
      <c r="BE23" s="12" t="n">
        <v>4</v>
      </c>
      <c r="BG23" s="12" t="n">
        <v>3</v>
      </c>
      <c r="BH23" s="12" t="n">
        <v>4</v>
      </c>
      <c r="BI23" t="n">
        <v>70</v>
      </c>
    </row>
    <row r="24" ht="18" customHeight="1">
      <c r="Y24" s="63" t="inlineStr">
        <is>
          <t>Brief</t>
        </is>
      </c>
      <c r="Z24" s="33">
        <f>COUNTIF(D2:D200,"Brief")</f>
        <v/>
      </c>
      <c r="AA24" s="64">
        <f>IFERROR(Z24/Z3,0)</f>
        <v/>
      </c>
      <c r="AB24" s="65">
        <f>REPT(CHAR(9608),MAX(0,ROUND(AA24*20,0)))&amp;REPT(CHAR(9617),MAX(0,20-ROUND(AA24*20,0)))&amp;"  "&amp;TEXT(AA24,"0%")</f>
        <v/>
      </c>
      <c r="AM24" s="50" t="inlineStr"/>
      <c r="AN24" s="50" t="inlineStr"/>
      <c r="AO24" s="44" t="inlineStr"/>
      <c r="AP24" s="44">
        <f>IF(OR(AO24="",AN24=""),"",WORKDAY(AO24,2+IF(AN24="Minimalne (3 dni)",3,IF(AN24="Standardowe (7 dni)",7,IF(AN24="Rozszerzone (10 dni)",10,14)))))</f>
        <v/>
      </c>
      <c r="AQ24" s="45">
        <f>IF(AP24="","",IF(TODAY()&gt;AP24,"PRZEKROCZONE!",MAX(0,NETWORKDAYS(TODAY(),AP24)-1)))</f>
        <v/>
      </c>
      <c r="AR24" s="46">
        <f>IF(AQ24="","",IF(AQ24="PRZEKROCZONE!","PO TERMINIE",IF(AND(ISNUMBER(AQ24),AQ24&lt;=3),"PILNE",IF(AND(ISNUMBER(AQ24),AQ24&lt;=7),"Wkrotce","OK"))))</f>
        <v/>
      </c>
      <c r="AZ24" s="25" t="n">
        <v>4</v>
      </c>
      <c r="BA24" s="25" t="n">
        <v>65</v>
      </c>
      <c r="BD24" s="25" t="n">
        <v>4</v>
      </c>
      <c r="BE24" s="25" t="n">
        <v>5</v>
      </c>
      <c r="BG24" s="25" t="n">
        <v>4</v>
      </c>
      <c r="BH24" s="25" t="n">
        <v>4</v>
      </c>
      <c r="BI24" t="n">
        <v>70</v>
      </c>
    </row>
    <row r="25" ht="18" customHeight="1">
      <c r="Y25" s="66" t="inlineStr">
        <is>
          <t>Czek. na mat.</t>
        </is>
      </c>
      <c r="Z25" s="67">
        <f>COUNTIF(D2:D200,"Czekamy na materiały")</f>
        <v/>
      </c>
      <c r="AA25" s="68">
        <f>IFERROR(Z25/Z3,0)</f>
        <v/>
      </c>
      <c r="AB25" s="69">
        <f>REPT(CHAR(9608),MAX(0,ROUND(AA25*20,0)))&amp;REPT(CHAR(9617),MAX(0,20-ROUND(AA25*20,0)))&amp;"  "&amp;TEXT(AA25,"0%")</f>
        <v/>
      </c>
      <c r="AM25" s="13" t="inlineStr"/>
      <c r="AN25" s="13" t="inlineStr"/>
      <c r="AO25" s="48" t="inlineStr"/>
      <c r="AP25" s="48">
        <f>IF(OR(AO25="",AN25=""),"",WORKDAY(AO25,2+IF(AN25="Minimalne (3 dni)",3,IF(AN25="Standardowe (7 dni)",7,IF(AN25="Rozszerzone (10 dni)",10,14)))))</f>
        <v/>
      </c>
      <c r="AQ25" s="12">
        <f>IF(AP25="","",IF(TODAY()&gt;AP25,"PRZEKROCZONE!",MAX(0,NETWORKDAYS(TODAY(),AP25)-1)))</f>
        <v/>
      </c>
      <c r="AR25" s="49">
        <f>IF(AQ25="","",IF(AQ25="PRZEKROCZONE!","PO TERMINIE",IF(AND(ISNUMBER(AQ25),AQ25&lt;=3),"PILNE",IF(AND(ISNUMBER(AQ25),AQ25&lt;=7),"Wkrotce","OK"))))</f>
        <v/>
      </c>
      <c r="AZ25" s="12" t="n">
        <v>5</v>
      </c>
      <c r="BA25" s="12" t="n">
        <v>85</v>
      </c>
      <c r="BD25" s="12" t="n">
        <v>5</v>
      </c>
      <c r="BE25" s="12" t="n">
        <v>2</v>
      </c>
      <c r="BG25" s="12" t="n">
        <v>5</v>
      </c>
      <c r="BH25" s="12" t="n">
        <v>5</v>
      </c>
      <c r="BI25" t="n">
        <v>70</v>
      </c>
    </row>
    <row r="26" ht="18" customHeight="1">
      <c r="Y26" s="70" t="inlineStr">
        <is>
          <t>Czek. na kl.</t>
        </is>
      </c>
      <c r="Z26" s="71">
        <f>COUNTIF(D2:D200,"Czekamy na klienta")</f>
        <v/>
      </c>
      <c r="AA26" s="72">
        <f>IFERROR(Z26/Z3,0)</f>
        <v/>
      </c>
      <c r="AB26" s="73">
        <f>REPT(CHAR(9608),MAX(0,ROUND(AA26*20,0)))&amp;REPT(CHAR(9617),MAX(0,20-ROUND(AA26*20,0)))&amp;"  "&amp;TEXT(AA26,"0%")</f>
        <v/>
      </c>
      <c r="AM26" s="50" t="inlineStr"/>
      <c r="AN26" s="50" t="inlineStr"/>
      <c r="AO26" s="44" t="inlineStr"/>
      <c r="AP26" s="44">
        <f>IF(OR(AO26="",AN26=""),"",WORKDAY(AO26,2+IF(AN26="Minimalne (3 dni)",3,IF(AN26="Standardowe (7 dni)",7,IF(AN26="Rozszerzone (10 dni)",10,14)))))</f>
        <v/>
      </c>
      <c r="AQ26" s="45">
        <f>IF(AP26="","",IF(TODAY()&gt;AP26,"PRZEKROCZONE!",MAX(0,NETWORKDAYS(TODAY(),AP26)-1)))</f>
        <v/>
      </c>
      <c r="AR26" s="46">
        <f>IF(AQ26="","",IF(AQ26="PRZEKROCZONE!","PO TERMINIE",IF(AND(ISNUMBER(AQ26),AQ26&lt;=3),"PILNE",IF(AND(ISNUMBER(AQ26),AQ26&lt;=7),"Wkrotce","OK"))))</f>
        <v/>
      </c>
      <c r="AZ26" s="25" t="n">
        <v>6</v>
      </c>
      <c r="BA26" s="25" t="n">
        <v>85</v>
      </c>
      <c r="BD26" s="25" t="n">
        <v>6</v>
      </c>
      <c r="BE26" s="25" t="n">
        <v>3</v>
      </c>
      <c r="BG26" s="25" t="n">
        <v>6</v>
      </c>
      <c r="BH26" s="25" t="n">
        <v>5</v>
      </c>
      <c r="BI26" t="n">
        <v>70</v>
      </c>
    </row>
    <row r="27" ht="18" customHeight="1">
      <c r="Y27" s="74" t="inlineStr">
        <is>
          <t>Gotowe/wkl.</t>
        </is>
      </c>
      <c r="Z27" s="75">
        <f>COUNTIF(D2:D200,"Gotowe / czeka na wklejenie")</f>
        <v/>
      </c>
      <c r="AA27" s="76">
        <f>IFERROR(Z27/Z3,0)</f>
        <v/>
      </c>
      <c r="AB27" s="77">
        <f>REPT(CHAR(9608),MAX(0,ROUND(AA27*20,0)))&amp;REPT(CHAR(9617),MAX(0,20-ROUND(AA27*20,0)))&amp;"  "&amp;TEXT(AA27,"0%")</f>
        <v/>
      </c>
      <c r="AM27" s="13" t="inlineStr"/>
      <c r="AN27" s="13" t="inlineStr"/>
      <c r="AO27" s="48" t="inlineStr"/>
      <c r="AP27" s="48">
        <f>IF(OR(AO27="",AN27=""),"",WORKDAY(AO27,2+IF(AN27="Minimalne (3 dni)",3,IF(AN27="Standardowe (7 dni)",7,IF(AN27="Rozszerzone (10 dni)",10,14)))))</f>
        <v/>
      </c>
      <c r="AQ27" s="12">
        <f>IF(AP27="","",IF(TODAY()&gt;AP27,"PRZEKROCZONE!",MAX(0,NETWORKDAYS(TODAY(),AP27)-1)))</f>
        <v/>
      </c>
      <c r="AR27" s="49">
        <f>IF(AQ27="","",IF(AQ27="PRZEKROCZONE!","PO TERMINIE",IF(AND(ISNUMBER(AQ27),AQ27&lt;=3),"PILNE",IF(AND(ISNUMBER(AQ27),AQ27&lt;=7),"Wkrotce","OK"))))</f>
        <v/>
      </c>
      <c r="AZ27" s="12" t="n">
        <v>7</v>
      </c>
      <c r="BA27" s="12" t="n">
        <v>78</v>
      </c>
      <c r="BD27" s="12" t="n">
        <v>7</v>
      </c>
      <c r="BE27" s="12" t="n">
        <v>3</v>
      </c>
      <c r="BG27" s="12" t="n">
        <v>7</v>
      </c>
      <c r="BH27" s="12" t="n">
        <v>5</v>
      </c>
      <c r="BI27" t="n">
        <v>70</v>
      </c>
    </row>
    <row r="28" ht="18" customHeight="1">
      <c r="AM28" s="50" t="inlineStr"/>
      <c r="AN28" s="50" t="inlineStr"/>
      <c r="AO28" s="44" t="inlineStr"/>
      <c r="AP28" s="44">
        <f>IF(OR(AO28="",AN28=""),"",WORKDAY(AO28,2+IF(AN28="Minimalne (3 dni)",3,IF(AN28="Standardowe (7 dni)",7,IF(AN28="Rozszerzone (10 dni)",10,14)))))</f>
        <v/>
      </c>
      <c r="AQ28" s="45">
        <f>IF(AP28="","",IF(TODAY()&gt;AP28,"PRZEKROCZONE!",MAX(0,NETWORKDAYS(TODAY(),AP28)-1)))</f>
        <v/>
      </c>
      <c r="AR28" s="46">
        <f>IF(AQ28="","",IF(AQ28="PRZEKROCZONE!","PO TERMINIE",IF(AND(ISNUMBER(AQ28),AQ28&lt;=3),"PILNE",IF(AND(ISNUMBER(AQ28),AQ28&lt;=7),"Wkrotce","OK"))))</f>
        <v/>
      </c>
      <c r="AZ28" s="25" t="n">
        <v>8</v>
      </c>
      <c r="BA28" s="25" t="n">
        <v>70</v>
      </c>
      <c r="BD28" s="25" t="n">
        <v>8</v>
      </c>
      <c r="BE28" s="25" t="n">
        <v>5</v>
      </c>
      <c r="BG28" s="25" t="n">
        <v>8</v>
      </c>
      <c r="BH28" s="25" t="n">
        <v>6</v>
      </c>
      <c r="BI28" t="n">
        <v>70</v>
      </c>
    </row>
    <row r="29" ht="18" customHeight="1">
      <c r="Y29" s="11" t="inlineStr">
        <is>
          <t>SLA ZAKŁADANE vs RZECZYWISTE</t>
        </is>
      </c>
      <c r="AM29" s="4" t="inlineStr">
        <is>
          <t>Jak dodac projekt do KOLEJKI?</t>
        </is>
      </c>
      <c r="AZ29" s="12" t="n">
        <v>9</v>
      </c>
      <c r="BA29" s="12" t="n">
        <v>50</v>
      </c>
      <c r="BD29" s="12" t="n">
        <v>9</v>
      </c>
      <c r="BE29" s="12" t="n">
        <v>14</v>
      </c>
      <c r="BG29" s="12" t="n">
        <v>9</v>
      </c>
      <c r="BH29" s="12" t="n">
        <v>5</v>
      </c>
      <c r="BI29" t="n">
        <v>70</v>
      </c>
    </row>
    <row r="30" ht="18" customHeight="1">
      <c r="Y30" s="55" t="inlineStr">
        <is>
          <t>Zlozonosc</t>
        </is>
      </c>
      <c r="Z30" s="55" t="inlineStr">
        <is>
          <t>SLA zakl.</t>
        </is>
      </c>
      <c r="AA30" s="55" t="inlineStr">
        <is>
          <t>Avg rzecz.</t>
        </is>
      </c>
      <c r="AB30" s="55" t="inlineStr">
        <is>
          <t>Rezerwa</t>
        </is>
      </c>
      <c r="AM30" s="78" t="inlineStr">
        <is>
          <t>1. Sales wypelnia tabele Kalkulator (klient + typ + data briefu)</t>
        </is>
      </c>
      <c r="AN30" s="79" t="inlineStr"/>
      <c r="AO30" s="79" t="inlineStr"/>
      <c r="AP30" s="79" t="inlineStr"/>
      <c r="AQ30" s="79" t="inlineStr"/>
      <c r="AR30" s="79" t="inlineStr"/>
      <c r="AZ30" s="25" t="n">
        <v>10</v>
      </c>
      <c r="BA30" s="25" t="n">
        <v>85</v>
      </c>
      <c r="BD30" s="25" t="n">
        <v>10</v>
      </c>
      <c r="BE30" s="25" t="n">
        <v>5</v>
      </c>
      <c r="BG30" s="25" t="n">
        <v>10</v>
      </c>
      <c r="BH30" s="25" t="n">
        <v>8</v>
      </c>
      <c r="BI30" t="n">
        <v>70</v>
      </c>
    </row>
    <row r="31" ht="18" customHeight="1">
      <c r="Y31" s="13" t="inlineStr">
        <is>
          <t>Minimalne</t>
        </is>
      </c>
      <c r="Z31" s="12" t="n">
        <v>3</v>
      </c>
      <c r="AA31" s="12" t="n">
        <v>1</v>
      </c>
      <c r="AB31" s="12" t="n">
        <v>2</v>
      </c>
      <c r="AM31" s="78" t="inlineStr">
        <is>
          <t>2. Damian przenosi projekt do glownej tabeli (kols A-V, nowy wiersz)</t>
        </is>
      </c>
      <c r="AN31" s="79" t="inlineStr"/>
      <c r="AO31" s="79" t="inlineStr"/>
      <c r="AP31" s="79" t="inlineStr"/>
      <c r="AQ31" s="79" t="inlineStr"/>
      <c r="AR31" s="79" t="inlineStr"/>
      <c r="AZ31" s="12" t="n">
        <v>11</v>
      </c>
      <c r="BA31" s="12" t="n">
        <v>90</v>
      </c>
      <c r="BD31" s="12" t="n">
        <v>11</v>
      </c>
      <c r="BE31" s="12" t="n">
        <v>3</v>
      </c>
      <c r="BG31" s="12" t="n">
        <v>11</v>
      </c>
      <c r="BH31" s="12" t="n">
        <v>9</v>
      </c>
      <c r="BI31" t="n">
        <v>70</v>
      </c>
    </row>
    <row r="32" ht="18" customHeight="1">
      <c r="Y32" s="80" t="inlineStr">
        <is>
          <t>Standardowe</t>
        </is>
      </c>
      <c r="Z32" s="81" t="n">
        <v>7</v>
      </c>
      <c r="AA32" s="81" t="n">
        <v>2</v>
      </c>
      <c r="AB32" s="81" t="n">
        <v>5</v>
      </c>
      <c r="AM32" s="78" t="inlineStr">
        <is>
          <t>3. Status = 'Brief' — projekt pojawia sie w dashboardzie automatycznie</t>
        </is>
      </c>
      <c r="AN32" s="79" t="inlineStr"/>
      <c r="AO32" s="79" t="inlineStr"/>
      <c r="AP32" s="79" t="inlineStr"/>
      <c r="AQ32" s="79" t="inlineStr"/>
      <c r="AR32" s="79" t="inlineStr"/>
    </row>
    <row r="33" ht="18" customHeight="1">
      <c r="Y33" s="13" t="inlineStr">
        <is>
          <t>Wysoka</t>
        </is>
      </c>
      <c r="Z33" s="12" t="n">
        <v>10</v>
      </c>
      <c r="AA33" s="12" t="n">
        <v>3</v>
      </c>
      <c r="AB33" s="12" t="n">
        <v>7</v>
      </c>
      <c r="AM33" s="78" t="inlineStr">
        <is>
          <t>4. Zmiana statusu w kol. D = dashboard, pipeline i statystyki aktualizuja sie</t>
        </is>
      </c>
      <c r="AN33" s="79" t="inlineStr"/>
      <c r="AO33" s="79" t="inlineStr"/>
      <c r="AP33" s="79" t="inlineStr"/>
      <c r="AQ33" s="79" t="inlineStr"/>
      <c r="AR33" s="79" t="inlineStr"/>
    </row>
    <row r="34" ht="20" customHeight="1">
      <c r="Y34" s="80" t="inlineStr">
        <is>
          <t>Bardzo wysoka</t>
        </is>
      </c>
      <c r="Z34" s="81" t="n">
        <v>14</v>
      </c>
      <c r="AA34" s="81" t="n">
        <v>4</v>
      </c>
      <c r="AB34" s="81" t="n">
        <v>10</v>
      </c>
    </row>
    <row r="35" ht="20" customHeight="1">
      <c r="Y35" s="82" t="inlineStr">
        <is>
          <t>SREDNIA</t>
        </is>
      </c>
      <c r="Z35" s="55" t="n">
        <v>11</v>
      </c>
      <c r="AA35" s="55" t="n">
        <v>3</v>
      </c>
      <c r="AB35" s="55" t="n">
        <v>8</v>
      </c>
    </row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26" customHeight="1">
      <c r="AZ43" s="5" t="inlineStr">
        <is>
          <t>KLUCZOWE WNIOSKI</t>
        </is>
      </c>
    </row>
    <row r="44" ht="20" customHeight="1">
      <c r="AZ44" s="83" t="inlineStr">
        <is>
          <t>Autonomia 75%-&gt;90% w 11 projektach. Wyrazny wzrost od projektu 5 (MW Consulting).</t>
        </is>
      </c>
      <c r="BA44" s="84" t="n"/>
      <c r="BB44" s="84" t="n"/>
      <c r="BC44" s="84" t="n"/>
      <c r="BD44" s="84" t="n"/>
      <c r="BE44" s="84" t="n"/>
      <c r="BF44" s="84" t="n"/>
      <c r="BG44" s="84" t="n"/>
      <c r="BH44" s="85" t="n"/>
    </row>
    <row r="45" ht="20" customHeight="1">
      <c r="AZ45" s="86" t="inlineStr">
        <is>
          <t>SORS: 4 jezyki + 3 sesje = najwyzsza efektywnosc. Rekord wsrod wszystkich projektow.</t>
        </is>
      </c>
      <c r="BA45" s="84" t="n"/>
      <c r="BB45" s="84" t="n"/>
      <c r="BC45" s="84" t="n"/>
      <c r="BD45" s="84" t="n"/>
      <c r="BE45" s="84" t="n"/>
      <c r="BF45" s="84" t="n"/>
      <c r="BG45" s="84" t="n"/>
      <c r="BH45" s="85" t="n"/>
    </row>
    <row r="46" ht="20" customHeight="1">
      <c r="AZ46" s="83" t="inlineStr">
        <is>
          <t>NAJMAR: brak scope freeze = 14 sesji (lekcja procesowa — akceptuj brief przed startem).</t>
        </is>
      </c>
      <c r="BA46" s="84" t="n"/>
      <c r="BB46" s="84" t="n"/>
      <c r="BC46" s="84" t="n"/>
      <c r="BD46" s="84" t="n"/>
      <c r="BE46" s="84" t="n"/>
      <c r="BF46" s="84" t="n"/>
      <c r="BG46" s="84" t="n"/>
      <c r="BH46" s="85" t="n"/>
    </row>
    <row r="47" ht="20" customHeight="1">
      <c r="AZ47" s="86" t="inlineStr">
        <is>
          <t>Od proj. 5: IdoBooking traps (OSOBY, overlay, z-index, header) handled automatycznie.</t>
        </is>
      </c>
      <c r="BA47" s="84" t="n"/>
      <c r="BB47" s="84" t="n"/>
      <c r="BC47" s="84" t="n"/>
      <c r="BD47" s="84" t="n"/>
      <c r="BE47" s="84" t="n"/>
      <c r="BF47" s="84" t="n"/>
      <c r="BG47" s="84" t="n"/>
      <c r="BH47" s="85" t="n"/>
    </row>
    <row r="48" ht="20" customHeight="1">
      <c r="AZ48" s="83" t="inlineStr">
        <is>
          <t>Wielojezycznosc: PL -&gt; PL+DE -&gt; PL+RU -&gt; PL+EN+DE+ES — progresywna nauka.</t>
        </is>
      </c>
      <c r="BA48" s="84" t="n"/>
      <c r="BB48" s="84" t="n"/>
      <c r="BC48" s="84" t="n"/>
      <c r="BD48" s="84" t="n"/>
      <c r="BE48" s="84" t="n"/>
      <c r="BF48" s="84" t="n"/>
      <c r="BG48" s="84" t="n"/>
      <c r="BH48" s="85" t="n"/>
    </row>
    <row r="49" ht="20" customHeight="1">
      <c r="AZ49" s="86" t="inlineStr">
        <is>
          <t>Granica autonomii: wklejanie CMS, weryfikacja zdjec, decyzje finansowe wymagaja czlowieka.</t>
        </is>
      </c>
      <c r="BA49" s="84" t="n"/>
      <c r="BB49" s="84" t="n"/>
      <c r="BC49" s="84" t="n"/>
      <c r="BD49" s="84" t="n"/>
      <c r="BE49" s="84" t="n"/>
      <c r="BF49" s="84" t="n"/>
      <c r="BG49" s="84" t="n"/>
      <c r="BH49" s="85" t="n"/>
    </row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</sheetData>
  <mergeCells count="23">
    <mergeCell ref="AZ49:BH49"/>
    <mergeCell ref="Y1:AJ1"/>
    <mergeCell ref="AM9:AR9"/>
    <mergeCell ref="AZ16:BH16"/>
    <mergeCell ref="AM10:AR10"/>
    <mergeCell ref="AZ43:BH43"/>
    <mergeCell ref="Y2:Z2"/>
    <mergeCell ref="AZ46:BH46"/>
    <mergeCell ref="AZ47:BH47"/>
    <mergeCell ref="AZ18:BH18"/>
    <mergeCell ref="AZ17:BH17"/>
    <mergeCell ref="AM1:AW1"/>
    <mergeCell ref="AZ2:BQ2"/>
    <mergeCell ref="Y29:AB29"/>
    <mergeCell ref="AZ48:BH48"/>
    <mergeCell ref="AM2:AR2"/>
    <mergeCell ref="Y20:AB20"/>
    <mergeCell ref="AM29:AR29"/>
    <mergeCell ref="AZ19:BH19"/>
    <mergeCell ref="AZ1:BQ1"/>
    <mergeCell ref="AZ15:BH15"/>
    <mergeCell ref="AZ44:BH44"/>
    <mergeCell ref="AZ45:BH45"/>
  </mergeCells>
  <dataValidations count="3">
    <dataValidation sqref="D2:D200" showDropDown="0" showInputMessage="0" showErrorMessage="0" allowBlank="1" type="list">
      <formula1>"Zakończona,W realizacji,Czekamy na materiały,Czekamy na klienta,Gotowe / czeka na wklejenie,Brief"</formula1>
    </dataValidation>
    <dataValidation sqref="I2:I200" showDropDown="0" showInputMessage="0" showErrorMessage="0" allowBlank="1" type="list">
      <formula1>"Niska,Średnia,Wysoka,Bardzo wysoka,Brief"</formula1>
    </dataValidation>
    <dataValidation sqref="AN12:AN28" showDropDown="0" showInputMessage="0" showErrorMessage="0" allowBlank="1" type="list">
      <formula1>"Minimalne (3 dni),Standardowe (7 dni),Rozszerzone (10 dni),Premium (14 dni),Wielojezyczne (14 dni)"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2026-04-03T14:10:18Z</dcterms:created>
  <dcterms:modified xmlns:dcterms="http://purl.org/dc/terms/" xmlns:xsi="http://www.w3.org/2001/XMLSchema-instance" xsi:type="dcterms:W3CDTF">2026-04-03T14:10:18Z</dcterms:modified>
</cp:coreProperties>
</file>